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Ledger" sheetId="1" r:id="rId5"/>
    <sheet state="visible" name="Insights" sheetId="2" r:id="rId6"/>
    <sheet state="visible" name="MerchantMap" sheetId="3" r:id="rId7"/>
    <sheet state="visible" name="FXRates" sheetId="4" r:id="rId8"/>
    <sheet state="visible" name="UserContext" sheetId="5" r:id="rId9"/>
    <sheet state="visible" name="Recipients" sheetId="6" r:id="rId10"/>
  </sheets>
  <definedNames/>
  <calcPr/>
</workbook>
</file>

<file path=xl/sharedStrings.xml><?xml version="1.0" encoding="utf-8"?>
<sst xmlns="http://schemas.openxmlformats.org/spreadsheetml/2006/main" count="2744" uniqueCount="997">
  <si>
    <t>Timestamp</t>
  </si>
  <si>
    <t>Amount</t>
  </si>
  <si>
    <t>Currency</t>
  </si>
  <si>
    <t>Counterparty</t>
  </si>
  <si>
    <t>Card</t>
  </si>
  <si>
    <t>Direction</t>
  </si>
  <si>
    <t>TxnType</t>
  </si>
  <si>
    <t>RawText</t>
  </si>
  <si>
    <t>NET</t>
  </si>
  <si>
    <t>2026-01-26T20:10:00</t>
  </si>
  <si>
    <t>QAR</t>
  </si>
  <si>
    <t>ANDAZ DOHA MUMBLE JUNG</t>
  </si>
  <si>
    <t>VISA2</t>
  </si>
  <si>
    <t>OUT</t>
  </si>
  <si>
    <t>Purchase</t>
  </si>
  <si>
    <t>Your credit card has been used for a purchase. Details: Card number: VISA2 Amount: QAR 260 Location: ANDAZ DOHA MUMBLE JUNG Available balance: QAR 47.67.</t>
  </si>
  <si>
    <t>2026-01-26T14:34:00</t>
  </si>
  <si>
    <t>UBR* PENDING.UBER.COM</t>
  </si>
  <si>
    <t>Your credit card has been used for a purchase. Details: Card number: VISA2 Amount: QAR 9.93 approx. Location: UBR* PENDING.UBER.COM Available balance: QAR 97.67.</t>
  </si>
  <si>
    <t>ANDAZ DOHA MR MRS HAWK</t>
  </si>
  <si>
    <t>MDEBIT2</t>
  </si>
  <si>
    <t>Your debit card has been used for a purchase, details: Card number: MDEBIT2 Amount: QAR 85 Location: ANDAZ DOHA MR MRS HAWK Available balance: QAR 215.31</t>
  </si>
  <si>
    <t>2026-01-26T07:11:00</t>
  </si>
  <si>
    <t>Pain Au Cafe Sho</t>
  </si>
  <si>
    <t>Your debit card has been used for a purchase, details: Card number: MDEBIT2 Amount: QAR 49 Location: Pain Au Cafe Sho Available balance: QAR 299.52</t>
  </si>
  <si>
    <t>2026-01-25T20:38:00</t>
  </si>
  <si>
    <t>CENTRA SUPERMARKETS AN</t>
  </si>
  <si>
    <t>Your debit card has been used for a purchase, details: Card number: MDEBIT2 Amount: QAR 48 Location: CENTRA SUPERMARKETS AN Available balance: QAR 348.52</t>
  </si>
  <si>
    <t>2026-01-25T17:09:00</t>
  </si>
  <si>
    <t>Talabat</t>
  </si>
  <si>
    <t>Your debit card has been used for a purchase, details: Card number: MDEBIT2 Amount: QAR 44.8 Location: Talabat Available balance: QAR 396.52</t>
  </si>
  <si>
    <t>2026-01-25T15:28:00</t>
  </si>
  <si>
    <t>WOQOD - ONAIZA - 2 PS</t>
  </si>
  <si>
    <t>Your debit card has been used for a purchase, details: Card number: MDEBIT2 Amount: QAR 50 Location: WOQOD - ONAIZA - 2 PS Available balance: QAR 441.32</t>
  </si>
  <si>
    <t>2026-01-25T13:46:00</t>
  </si>
  <si>
    <t>Your debit card has been used for a purchase, details: Card number: MDEBIT2 Amount: QAR 25 Location: Talabat Available balance: QAR 491.32</t>
  </si>
  <si>
    <t>2026-01-25T13:34:00</t>
  </si>
  <si>
    <t>AFIF BOU NASSIF OR NICOLE DAOU</t>
  </si>
  <si>
    <t>TRANSFER</t>
  </si>
  <si>
    <t>IN</t>
  </si>
  <si>
    <t>Received</t>
  </si>
  <si>
    <t>There was a fund transfer to your account, Details: Account number: CURRENT1 Amount: QAR 500 From: AFIF BOU NASSIF OR NICOLE DAOU Value Date: 25-01-2026 The Available Balance is: 586.32</t>
  </si>
  <si>
    <t>2026-01-24T22:06:00</t>
  </si>
  <si>
    <t>PAYPAL *GITHUB INC</t>
  </si>
  <si>
    <t>Your debit card has been used for a purchase, details: Card number: MDEBIT2 Amount: QAR 53.18 Location: PAYPAL *GITHUB INC Available balance: QAR 86.32</t>
  </si>
  <si>
    <t>2026-01-24T03:28:00</t>
  </si>
  <si>
    <t>WOQOD - LEBSAYYER SIDR</t>
  </si>
  <si>
    <t>Your debit card has been used for a purchase, details: Card number: MDEBIT2 Amount: QAR 61 Location: WOQOD - LEBSAYYER SIDR Available balance: QAR 141.09</t>
  </si>
  <si>
    <t>2026-01-23T18:47:00</t>
  </si>
  <si>
    <t>ZEKREET SUPERMARKET</t>
  </si>
  <si>
    <t>Your debit card has been used for a purchase, details: Card number: MDEBIT2 Amount: QAR 49 Location: ZEKREET SUPERMARKET Available balance: QAR 202.09</t>
  </si>
  <si>
    <t>2026-01-23T16:55:00</t>
  </si>
  <si>
    <t>Your credit card has been used for a purchase. Details: Card number: VISA2 Amount: QAR 25.96 approx. Location: UBR* PENDING.UBER.COM Available balance: QAR 37.6.</t>
  </si>
  <si>
    <t>ZAHRA GRAND FRESH SUPE</t>
  </si>
  <si>
    <t>Your debit card has been used for a purchase, details: Card number: MDEBIT2 Amount: QAR 33 Location: ZAHRA GRAND FRESH SUPE Available balance: QAR 444.09</t>
  </si>
  <si>
    <t>FALCON TRADING CENTER</t>
  </si>
  <si>
    <t>Your debit card has been used for a purchase, details: Card number: MDEBIT2 Amount: QAR 193 Location: FALCON TRADING CENTER Available balance: QAR 251.09</t>
  </si>
  <si>
    <t>2026-01-23T14:09:00</t>
  </si>
  <si>
    <t>UBER * PENDING</t>
  </si>
  <si>
    <t>Your credit card has been used for a purchase. Details: Card number: VISA2 Amount: QAR 8.94 approx. Location: UBER * PENDING Available balance: QAR 63.56.</t>
  </si>
  <si>
    <t>2026-01-23T09:33:00</t>
  </si>
  <si>
    <t>Keeta QFC LLC</t>
  </si>
  <si>
    <t>Your debit card has been used for a purchase, details: Card number: MDEBIT2 Amount: QAR 26.4 Location: Keeta QFC LLC Available balance: QAR 477.09</t>
  </si>
  <si>
    <t>2026-01-22T21:35:00</t>
  </si>
  <si>
    <t>Talabat QFC LLC</t>
  </si>
  <si>
    <t>Your credit card has been used for a purchase. Details: Card number: VISA2 Amount: QAR 117 Location: Talabat QFC LLC Available balance: QAR 72.5.</t>
  </si>
  <si>
    <t>2026-01-22T18:21:00</t>
  </si>
  <si>
    <t>Your credit card has been used for a purchase. Details: Card number: VISA2 Amount: QAR 9.93 approx. Location: UBER * PENDING Available balance: QAR 189.5.</t>
  </si>
  <si>
    <t>2026-01-22T09:31:00</t>
  </si>
  <si>
    <t>There was a fund transfer to your account, Details: Account number: CURRENT1 Amount: QAR 500 From: AFIF BOU NASSIF OR NICOLE DAOU Value Date: 22-01-2026 The Available Balance is: 503.17</t>
  </si>
  <si>
    <t>2026-01-21T21:08:00</t>
  </si>
  <si>
    <t>Your credit card has been used for a purchase. Details: Card number: VISA2 Amount: QAR 8.95 approx. Location: UBER * PENDING Available balance: QAR 199.43.</t>
  </si>
  <si>
    <t>2026-01-21T18:33:00</t>
  </si>
  <si>
    <t>Your credit card has been used for a purchase. Details: Card number: VISA2 Amount: QAR 25.2 Location: Keeta QFC LLC Available balance: QAR 208.38.</t>
  </si>
  <si>
    <t>2026-01-21T15:49:00</t>
  </si>
  <si>
    <t>Your credit card has been used for a purchase. Details: Card number: VISA2 Amount: QAR 22.94 approx. Location: UBR* PENDING.UBER.COM Available balance: QAR 233.58.</t>
  </si>
  <si>
    <t>2026-01-21T14:18:00</t>
  </si>
  <si>
    <t>Ooredoo CC Top Up</t>
  </si>
  <si>
    <t>Your credit card has been used for a purchase. Details: Card number: VISA2 Amount: QAR 40 Location: Ooredoo CC Top Up Available balance: QAR 256.52.</t>
  </si>
  <si>
    <t>2026-01-21T11:18:00</t>
  </si>
  <si>
    <t>Your credit card has been used for a purchase. Details: Card number: VISA2 Amount: QAR 139 Location: Talabat QFC LLC Available balance: QAR 296.52.</t>
  </si>
  <si>
    <t>2026-01-21T07:36:00</t>
  </si>
  <si>
    <t>Pain Au Cafe Shop</t>
  </si>
  <si>
    <t>Your credit card has been used for a purchase. Details: Card number: VISA2 Amount: QAR 27 Location: Pain Au Cafe Shop Available balance: QAR 435.52.</t>
  </si>
  <si>
    <t>2026-01-20T23:16:00</t>
  </si>
  <si>
    <t>SEDRA ARJAAN BY ROTANA</t>
  </si>
  <si>
    <t>Your debit card has been used for a purchase, details: Card number: MDEBIT2 Amount: QAR 340 Location: SEDRA ARJAAN BY ROTANA Available balance: QAR 240.23</t>
  </si>
  <si>
    <t>2026-01-20T07:28:00</t>
  </si>
  <si>
    <t>Your credit card has been used for a purchase. Details: Card number: VISA2 Amount: QAR 47 Location: Pain Au Cafe Shop Available balance: QAR 222.52.</t>
  </si>
  <si>
    <t>2026-01-19T22:26:00</t>
  </si>
  <si>
    <t>Keeta</t>
  </si>
  <si>
    <t>Your debit card has been used for a purchase, details: Card number: MDEBIT2 Amount: QAR 30 Location: Keeta Available balance: QAR 572.12</t>
  </si>
  <si>
    <t>2026-01-19T16:21:00</t>
  </si>
  <si>
    <t>Your credit card has been used for a purchase. Details: Card number: VISA2 Amount: QAR 18.96 approx. Location: UBR* PENDING.UBER.COM Available balance: QAR 269.52.</t>
  </si>
  <si>
    <t>2026-01-19T14:15:00</t>
  </si>
  <si>
    <t>Your debit card has been used for a purchase, details: Card number: MDEBIT2 Amount: QAR 45 Location: Keeta Available balance: QAR 603.02</t>
  </si>
  <si>
    <t>2026-01-19T08:09:00</t>
  </si>
  <si>
    <t>Your debit card has been used for a purchase, details: Card number: MDEBIT2 Amount: QAR 79 Location: Pain Au Cafe Sho Available balance: QAR 646.7</t>
  </si>
  <si>
    <t>2026-01-19T07:02:00</t>
  </si>
  <si>
    <t>Your debit card has been used for a purchase, details: Card number: MDEBIT2 Amount: QAR 37 Location: Talabat QFC LLC Available balance: QAR 725.7</t>
  </si>
  <si>
    <t>2026-01-18T17:31:00</t>
  </si>
  <si>
    <t>Your credit card has been used for a purchase. Details: Card number: VISA2 Amount: QAR 20.93 approx. Location: UBER * PENDING Available balance: QAR 288.65.</t>
  </si>
  <si>
    <t>2026-01-17T21:43:00</t>
  </si>
  <si>
    <t>USD</t>
  </si>
  <si>
    <t>ANTHROPIC</t>
  </si>
  <si>
    <t>Your debit card has been used for a purchase, details: Card number: MDEBIT2 Amount: USD 10 Location: ANTHROPIC Available balance: QAR 1104.91</t>
  </si>
  <si>
    <t>CLAUDE.AI SUBSCRIPTION</t>
  </si>
  <si>
    <t>Your debit card has been used for a purchase, details: Card number: MDEBIT2 Amount: USD 91.73 Location: CLAUDE.AI SUBSCRIPTION Available balance: QAR 761</t>
  </si>
  <si>
    <t>2026-01-17T19:28:00</t>
  </si>
  <si>
    <t>Your credit card has been used for a purchase. Details: Card number: VISA2 Amount: QAR 8.95 approx. Location: UBER * PENDING Available balance: QAR 309.58.</t>
  </si>
  <si>
    <t>2026-01-17T17:55:00</t>
  </si>
  <si>
    <t>PAYPAL *BATTLE.NET EU3</t>
  </si>
  <si>
    <t>Your debit card has been used for a purchase, details: Card number: MDEBIT2 Amount: QAR 47.49 Location: PAYPAL *BATTLE.NET EU3 Available balance: QAR 1142.4</t>
  </si>
  <si>
    <t>2026-01-17T10:57:00</t>
  </si>
  <si>
    <t>GAMMA.APP</t>
  </si>
  <si>
    <t>Your credit card has been used for a purchase. Details: Card number: VISA2 Amount: USD 25 approx. Location: GAMMA.APP Available balance: QAR 318.53.</t>
  </si>
  <si>
    <t>2026-01-17T09:35:00</t>
  </si>
  <si>
    <t>Your credit card has been used for a purchase. Details: Card number: VISA2 Amount: QAR 15.96 approx. Location: UBR* PENDING.UBER.COM Available balance: QAR 411.35.</t>
  </si>
  <si>
    <t>2026-01-16T20:20:00</t>
  </si>
  <si>
    <t>Your credit card has been used for a purchase. Details: Card number: VISA2 Amount: QAR 15.94 approx. Location: UBR* PENDING.UBER.COM Available balance: QAR 427.31.</t>
  </si>
  <si>
    <t>2026-01-16T09:24:00</t>
  </si>
  <si>
    <t>Your debit card has been used for a purchase, details: Card number: MDEBIT2 Amount: QAR 158.25 Location: Talabat QFC LLC Available balance: QAR 1191.31</t>
  </si>
  <si>
    <t>2026-01-16T01:04:00</t>
  </si>
  <si>
    <t>Your debit card has been used for a purchase, details: Card number: MDEBIT2 Amount: QAR 86 Location: Talabat QFC LLC Available balance: QAR 1354.3</t>
  </si>
  <si>
    <t>2026-01-15T07:42:00</t>
  </si>
  <si>
    <t>Your debit card has been used for a purchase, details: Card number: MDEBIT2 Amount: QAR 26.4 Location: Keeta Available balance: QAR 1433.96</t>
  </si>
  <si>
    <t>2026-01-14T17:07:00</t>
  </si>
  <si>
    <t>Your debit card has been used for a purchase, details: Card number: MDEBIT2 Amount: QAR 25.39 Location: Keeta Available balance: QAR 1461.15</t>
  </si>
  <si>
    <t>2026-01-14T15:35:00</t>
  </si>
  <si>
    <t>UNIVERSITY PETROL STAT</t>
  </si>
  <si>
    <t>Your credit card has been used for a purchase. Details: Card number: VISA2 Amount: QAR 40 Location: UNIVERSITY PETROL STAT Available balance: QAR 443.25.</t>
  </si>
  <si>
    <t>2026-01-14T07:27:00</t>
  </si>
  <si>
    <t>Your debit card has been used for a purchase, details: Card number: MDEBIT2 Amount: QAR 26.4 Location: Keeta Available balance: QAR 1487.3</t>
  </si>
  <si>
    <t>2026-01-13T22:16:00</t>
  </si>
  <si>
    <t>Your debit card has been used for a purchase, details: Card number: MDEBIT2 Amount: QAR 42.2 Location: Talabat QFC LLC Available balance: QAR 1514.49</t>
  </si>
  <si>
    <t>2026-01-13T18:26:00</t>
  </si>
  <si>
    <t>MARBLE PLUS MEDICAL CE</t>
  </si>
  <si>
    <t>Your credit card has been used for a purchase. Details: Card number: VISA2 Amount: QAR 5.5 Location: MARBLE PLUS MEDICAL CE Available balance: QAR 483.25.</t>
  </si>
  <si>
    <t>2026-01-13T17:07:00</t>
  </si>
  <si>
    <t>Your debit card has been used for a purchase, details: Card number: MDEBIT2 Amount: QAR 50 Location: MARBLE PLUS MEDICAL CE Available balance: QAR 1557.95</t>
  </si>
  <si>
    <t>2026-01-13T11:18:00</t>
  </si>
  <si>
    <t>33949929</t>
  </si>
  <si>
    <t>Fawran &amp; Transfers</t>
  </si>
  <si>
    <t>Your funds transfer request using Fawran has been processed successfully, details: To Alias: 33949929 Amount: QAR 45 The Available Balance is: QAR 1608.45</t>
  </si>
  <si>
    <t>2026-01-12T19:38:00</t>
  </si>
  <si>
    <t>Your debit card has been used for a purchase, details: Card number: MDEBIT2 Amount: QAR 26 Location: Keeta Available balance: QAR 1653.45</t>
  </si>
  <si>
    <t>2026-01-12T08:17:00</t>
  </si>
  <si>
    <t>Your debit card has been used for a purchase, details: Card number: MDEBIT2 Amount: QAR 47 Location: Pain Au Cafe Sho Available balance: QAR 1680.23</t>
  </si>
  <si>
    <t>2026-01-12T04:24:00</t>
  </si>
  <si>
    <t>Your debit card has been used for a purchase, details: Card number: MDEBIT2 Amount: QAR 100 Location: Talabat QFC LLC Available balance: QAR 1727.23</t>
  </si>
  <si>
    <t>2026-01-11T20:45:00</t>
  </si>
  <si>
    <t>Your debit card has been used for a purchase, details: Card number: MDEBIT2 Amount: QAR 47.5 Location: Talabat QFC LLC Available balance: QAR 1830.23</t>
  </si>
  <si>
    <t>2026-01-11T15:50:00</t>
  </si>
  <si>
    <t>Your debit card has been used for a purchase, details: Card number: MDEBIT2 Amount: QAR 17.5 Location: CENTRA SUPERMARKETS AN Available balance: QAR 1879.15</t>
  </si>
  <si>
    <t>2026-01-10T19:21:00</t>
  </si>
  <si>
    <t>Your debit card has been used for a purchase, details: Card number: MDEBIT2 Amount: QAR 25 Location: Talabat QFC LLC Available balance: QAR 1894.51</t>
  </si>
  <si>
    <t>2026-01-10T13:30:00</t>
  </si>
  <si>
    <t>Your debit card has been used for a purchase, details: Card number: MDEBIT2 Amount: QAR 66 Location: Keeta Available balance: QAR 1920.26</t>
  </si>
  <si>
    <t>2026-01-10T09:50:00</t>
  </si>
  <si>
    <t>MEDIUM MONTHLY</t>
  </si>
  <si>
    <t>Your credit card has been used for a purchase. Details: Card number: VISA2 Amount: USD 5 approx. Location: MEDIUM MONTHLY Available balance: QAR 455.55.</t>
  </si>
  <si>
    <t>RENDER.COM</t>
  </si>
  <si>
    <t>Your credit card has been used for a purchase. Details: Card number: VISA2 Amount: USD 1 approx. Location: RENDER.COM Available balance: QAR 425.85.</t>
  </si>
  <si>
    <t>Your credit card has been used for a purchase. Details: Card number: VISA2 Amount: USD 7 approx. Location: RENDER.COM Available balance: QAR 425.85.</t>
  </si>
  <si>
    <t>2026-01-09T23:44:00</t>
  </si>
  <si>
    <t>Your debit card has been used for a purchase, details: Card number: MDEBIT2 Amount: QAR 33 Location: Keeta Available balance: QAR 1988.24</t>
  </si>
  <si>
    <t>2026-01-09T17:55:00</t>
  </si>
  <si>
    <t>Your credit card has been used for a purchase. Details: Card number: VISA2 Amount: USD 5 approx. Location: ANTHROPIC Available balance: QAR 566.93.</t>
  </si>
  <si>
    <t>Your credit card has been used for a purchase. Details: Card number: VISA2 Amount: USD 10 approx. Location: ANTHROPIC Available balance: QAR 529.8.</t>
  </si>
  <si>
    <t>OPENAI</t>
  </si>
  <si>
    <t>Your credit card has been used for a purchase. Details: Card number: VISA2 Amount: USD 15 approx. Location: OPENAI Available balance: QAR 474.11.</t>
  </si>
  <si>
    <t>2026-01-07T21:58:00</t>
  </si>
  <si>
    <t>Your credit card has been used for a purchase. Details: Card number: VISA2 Amount: QAR 20.2 Location: Keeta Available balance: QAR 585.49.</t>
  </si>
  <si>
    <t>2026-01-07T14:15:00</t>
  </si>
  <si>
    <t>Your credit card has been used for a purchase. Details: Card number: VISA2 Amount: QAR 24.89 Location: Keeta Available balance: QAR 605.69.</t>
  </si>
  <si>
    <t>2026-01-07T11:48:00</t>
  </si>
  <si>
    <t>PAYPAL *GAMER2GAMER</t>
  </si>
  <si>
    <t>Your debit card has been used for a purchase, details: Card number: MDEBIT2 Amount: QAR 54.9 Location: PAYPAL *GAMER2GAMER Available balance: QAR 2020.73</t>
  </si>
  <si>
    <t>2026-01-06T19:36:00</t>
  </si>
  <si>
    <t>Your debit card has been used for a purchase, details: Card number: MDEBIT2 Amount: QAR 50 Location: MARBLE PLUS MEDICAL CE Available balance: QAR 2182.13</t>
  </si>
  <si>
    <t>Your debit card has been used for a purchase, details: Card number: MDEBIT2 Amount: QAR 107.2 Location: MARBLE PLUS MEDICAL CE Available balance: QAR 2074.93</t>
  </si>
  <si>
    <t>Your credit card has been used for a purchase. Details: Card number: VISA2 Amount: QAR 78 Location: Keeta Available balance: QAR 630.58.</t>
  </si>
  <si>
    <t>2026-01-06T11:23:00</t>
  </si>
  <si>
    <t>Your debit card has been used for a purchase, details: Card number: MDEBIT2 Amount: QAR 44 Location: Talabat QFC LLC Available balance: QAR 2232.13</t>
  </si>
  <si>
    <t>2026-01-05T15:33:00</t>
  </si>
  <si>
    <t>Your debit card has been used for a purchase, details: Card number: MDEBIT2 Amount: QAR 50 Location: Talabat QFC LLC Available balance: QAR 2277.45</t>
  </si>
  <si>
    <t>2026-01-04T22:12:00</t>
  </si>
  <si>
    <t>Your debit card has been used for a purchase, details: Card number: MDEBIT2 Amount: QAR 25 Location: Talabat QFC LLC Available balance: QAR 2328.95</t>
  </si>
  <si>
    <t>2026-01-04T16:46:00</t>
  </si>
  <si>
    <t>Your credit card has been used for a purchase. Details: Card number: VISA2 Amount: QAR 42 Location: Keeta Available balance: QAR 708.58.</t>
  </si>
  <si>
    <t>2026-01-03T23:18:00</t>
  </si>
  <si>
    <t>Your debit card has been used for a purchase, details: Card number: MDEBIT2 Amount: QAR 53.2 Location: Keeta Available balance: QAR 2347.58</t>
  </si>
  <si>
    <t>2026-01-03T14:16:00</t>
  </si>
  <si>
    <t>talabat pro</t>
  </si>
  <si>
    <t>Your credit card has been used for a purchase. Details: Card number: VISA2 Amount: QAR 35 Location: talabat pro Available balance: QAR 816.17.</t>
  </si>
  <si>
    <t>Your credit card has been used for a purchase. Details: Card number: VISA2 Amount: QAR 65 Location: Talabat QFC LLC Available balance: QAR 751.17.</t>
  </si>
  <si>
    <t>2026-01-03T05:45:00</t>
  </si>
  <si>
    <t>Your credit card has been used for a purchase. Details: Card number: VISA2 Amount: QAR 25.2 Location: Keeta Available balance: QAR 851.17.</t>
  </si>
  <si>
    <t>2026-01-02T23:14:00</t>
  </si>
  <si>
    <t>EMERALD ISLE TRDG N SV</t>
  </si>
  <si>
    <t>Your credit card has been used for a purchase. Details: Card number: VISA2 Amount: QAR 100.8 Location: EMERALD ISLE TRDG N SV Available balance: QAR 876.37.</t>
  </si>
  <si>
    <t>2026-01-02T21:18:00</t>
  </si>
  <si>
    <t>Your credit card has been used for a purchase. Details: Card number: VISA2 Amount: QAR 550 Location: EMERALD ISLE TRDG N SV Available balance: QAR 977.17.</t>
  </si>
  <si>
    <t>Your debit card has been used for a purchase, details: Card number: MDEBIT2 Amount: QAR 112 Location: EMERALD ISLE TRDG N SV Available balance: QAR 2402.37</t>
  </si>
  <si>
    <t>2026-01-02T20:17:00</t>
  </si>
  <si>
    <t>MEDICOM PHARMACY W.L.L</t>
  </si>
  <si>
    <t>Your credit card has been used for a purchase. Details: Card number: VISA2 Amount: QAR 22 Location: MEDICOM PHARMACY W.L.L Available balance: QAR 1527.17.</t>
  </si>
  <si>
    <t>2026-01-02T16:20:00</t>
  </si>
  <si>
    <t>DUSIT HOTEL AND SUITES</t>
  </si>
  <si>
    <t>Your credit card has been used for a purchase. Details: Card number: VISA2 Amount: QAR 505 Location: DUSIT HOTEL AND SUITES Available balance: QAR 2434.17.</t>
  </si>
  <si>
    <t>Your credit card has been used for a purchase. Details: Card number: VISA2 Amount: QAR 885 Location: DUSIT HOTEL AND SUITES Available balance: QAR 1549.17.</t>
  </si>
  <si>
    <t>2026-01-02T02:45:00</t>
  </si>
  <si>
    <t>Your credit card has been used for a purchase. Details: Card number: VISA2 Amount: QAR 68 Location: Talabat QFC LLC Available balance: QAR 2939.17.</t>
  </si>
  <si>
    <t>2026-01-02T01:44:00</t>
  </si>
  <si>
    <t>CHAMPIONS SPORTS BAR</t>
  </si>
  <si>
    <t>Your credit card has been used for a purchase. Details: Card number: VISA2 Amount: QAR 290 Location: CHAMPIONS SPORTS BAR Available balance: QAR 3007.17.</t>
  </si>
  <si>
    <t>2026-01-01T21:48:00</t>
  </si>
  <si>
    <t>Bawwabat Al Shamal 2</t>
  </si>
  <si>
    <t>Your debit card has been used for a purchase, details: Card number: MDEBIT2 Amount: QAR 2410 Location: Bawwabat Al Shamal 2 Available balance: QAR 2514.37</t>
  </si>
  <si>
    <t>RAISING CANES</t>
  </si>
  <si>
    <t>Your credit card has been used for a purchase. Details: Card number: VISA2 Amount: QAR 59 Location: RAISING CANES Available balance: QAR 3297.17.</t>
  </si>
  <si>
    <t>2026-01-01T17:22:00</t>
  </si>
  <si>
    <t>Your credit card has been used for a purchase. Details: Card number: VISA2 Amount: QAR 114 Location: Talabat QFC LLC Available balance: QAR 3480.92.</t>
  </si>
  <si>
    <t>Google Workspace fact.</t>
  </si>
  <si>
    <t>Your credit card has been used for a purchase. Details: Card number: VISA2 Amount: USD 33.6 approx. Location: Google Workspace fact. Available balance: QAR 3356.17.</t>
  </si>
  <si>
    <t>2026-01-01T13:51:00</t>
  </si>
  <si>
    <t>QA28XXXXXXXXXXXXXXXXXXX016001</t>
  </si>
  <si>
    <t>There was a fund transfer to your account, Details: Account number: CURRENT1 Amount: QAR 200 From Alias: QA28XXXXXXXXXXXXXXXXXXX016001 Value Date: 01-01-2026 The Available Balance is: QAR 4924.37</t>
  </si>
  <si>
    <t>2026-01-01T12:19:00</t>
  </si>
  <si>
    <t>QA06XXXXXXXXXXXXXXXXXXX650013</t>
  </si>
  <si>
    <t>There was a fund transfer to your account, Details: Account number: CURRENT1 Amount: QAR 200 From Alias: QA06XXXXXXXXXXXXXXXXXXX650013 Value Date: 01-01-2026 The Available Balance is: QAR 4324.37</t>
  </si>
  <si>
    <t>QA07XXXXXXXXXXXXXXXXXXX899043</t>
  </si>
  <si>
    <t>There was a fund transfer to your account, Details: Account number: CURRENT1 Amount: QAR 200 From Alias: QA07XXXXXXXXXXXXXXXXXXX899043 Value Date: 01-01-2026 The Available Balance is: QAR 4524.37</t>
  </si>
  <si>
    <t>There was a fund transfer to your account, Details: Account number: CURRENT1 Amount: QAR 200 From Alias: QA07XXXXXXXXXXXXXXXXXXX899043 Value Date: 01-01-2026 The Available Balance is: QAR 4724.37</t>
  </si>
  <si>
    <t>2026-01-01T02:14:00</t>
  </si>
  <si>
    <t>Your credit card has been used for a purchase. Details: Card number: VISA2 Amount: QAR 26.6 Location: Keeta Available balance: QAR 3594.92.</t>
  </si>
  <si>
    <t>2025-12-31T17:24:00</t>
  </si>
  <si>
    <t>66217839</t>
  </si>
  <si>
    <t>Your funds transfer request using Fawran has been processed successfully, details: To Alias: 66217839 Amount: QAR 345 The Available Balance is: QAR 4124.37</t>
  </si>
  <si>
    <t>Your credit card has been used for a purchase. Details: Card number: VISA2 Amount: QAR 130 Location: Keeta Available balance: QAR 3621.52.</t>
  </si>
  <si>
    <t>OPENAI *CHATGPT SUBSCR</t>
  </si>
  <si>
    <t>Your credit card has been used for a purchase. Details: Card number: VISA2 Amount: USD 60 approx. Location: OPENAI *CHATGPT SUBSCR Available balance: QAR 3621.52.</t>
  </si>
  <si>
    <t>2025-12-31T16:57:00</t>
  </si>
  <si>
    <t>DSTLRY.CO</t>
  </si>
  <si>
    <t>Your credit card has been used for a purchase. Details: Card number: VISA2 Amount: USD 1 approx. Location: DSTLRY.CO Available balance: QAR 3974.29.</t>
  </si>
  <si>
    <t>2025-12-31T16:52:00</t>
  </si>
  <si>
    <t>33703060</t>
  </si>
  <si>
    <t>There was a fund transfer to your account, Details: Account number: CURRENT1 Amount: QAR 200 From Alias: 33703060 Value Date: 31-12-2025 The Available Balance is: QAR 8370.3</t>
  </si>
  <si>
    <t>2025-12-31T10:40:00</t>
  </si>
  <si>
    <t>33131126</t>
  </si>
  <si>
    <t>There was a fund transfer to your account, Details: Account number: CURRENT1 Amount: QAR 20 From Alias: 33131126 Value Date: 31-12-2025 The Available Balance is: QAR 7330.3</t>
  </si>
  <si>
    <t>QA89XXXXXXXXXXXXXXXXXXX137101</t>
  </si>
  <si>
    <t>There was a fund transfer to your account, Details: Account number: CURRENT1 Amount: QAR 230 From Alias: QA89XXXXXXXXXXXXXXXXXXX137101 Value Date: 31-12-2025 The Available Balance is: QAR 7560.3</t>
  </si>
  <si>
    <t>There was a fund transfer to your account, Details: Account number: CURRENT1 Amount: QAR 180 From Alias: 33131126 Value Date: 31-12-2025 The Available Balance is: QAR 7740.3</t>
  </si>
  <si>
    <t>33413435</t>
  </si>
  <si>
    <t>There was a fund transfer to your account, Details: Account number: CURRENT1 Amount: QAR 200 From Alias: 33413435 Value Date: 31-12-2025 The Available Balance is: QAR 7940.3</t>
  </si>
  <si>
    <t>QA55XXXXXXXXXXXXXXXXXXX023001</t>
  </si>
  <si>
    <t>There was a fund transfer to your account, Details: Account number: CURRENT1 Amount: QAR 230 From Alias: QA55XXXXXXXXXXXXXXXXXXX023001 Value Date: 31-12-2025 The Available Balance is: QAR 8170.3</t>
  </si>
  <si>
    <t>2025-12-31T09:30:00</t>
  </si>
  <si>
    <t>Your credit card has been used for a purchase. Details: Card number: VISA2 Amount: QAR 22 Location: Pain Au Cafe Shop Available balance: QAR 77.07.</t>
  </si>
  <si>
    <t>2025-12-30T18:44:00</t>
  </si>
  <si>
    <t>Your debit card has been used for a purchase, details: Card number: MDEBIT2 Amount: USD 20 Location: CLAUDE.AI SUBSCRIPTION Available balance: QAR 7310.3</t>
  </si>
  <si>
    <t>2025-12-30T17:11:00</t>
  </si>
  <si>
    <t>There was a fund transfer to your account, Details: Account number: CURRENT1 Amount: QAR 40 From Alias: QA06XXXXXXXXXXXXXXXXXXX650013 Value Date: 30-12-2025 The Available Balance is: QAR 7350.28</t>
  </si>
  <si>
    <t>There was a fund transfer to your account, Details: Account number: CURRENT1 Amount: QAR 35 From Alias: 33131126 Value Date: 30-12-2025 The Available Balance is: QAR 7385.28</t>
  </si>
  <si>
    <t>2025-12-30T16:01:00</t>
  </si>
  <si>
    <t>Your debit card has been used for a purchase, details: Card number: MDEBIT2 Amount: QAR 220.1 Location: Keeta Available balance: QAR 7227.28</t>
  </si>
  <si>
    <t>There was a fund transfer to your account, Details: Account number: CURRENT1 Amount: QAR 83 From Alias: 33703060 Value Date: 30-12-2025 The Available Balance is: QAR 7310.28</t>
  </si>
  <si>
    <t>2025-12-30T12:01:00</t>
  </si>
  <si>
    <t>Your credit card has been used for a purchase. Details: Card number: VISA2 Amount: QAR 21 Location: Pain Au Cafe Shop Available balance: QAR 99.19.</t>
  </si>
  <si>
    <t>2025-12-29T20:41:00</t>
  </si>
  <si>
    <t>Your credit card has been used for a purchase. Details: Card number: VISA2 Amount: QAR 17.96 approx. Location: UBER * PENDING Available balance: QAR 120.19.</t>
  </si>
  <si>
    <t>MAGNUM HOTEL CONSULTAN</t>
  </si>
  <si>
    <t>Your debit card has been used for a purchase, details: Card number: MDEBIT2 Amount: QAR 1537 Location: MAGNUM HOTEL CONSULTAN Available balance: QAR 6732.04</t>
  </si>
  <si>
    <t>There was a fund transfer to your account, Details: Account number: CURRENT1 Amount: QAR 700 From Alias: QA07XXXXXXXXXXXXXXXXXXX899043 Value Date: 29-12-2025 The Available Balance is: QAR 7432.04</t>
  </si>
  <si>
    <t>2025-12-29T07:59:00</t>
  </si>
  <si>
    <t>Your credit card has been used for a purchase. Details: Card number: VISA2 Amount: QAR 42 Location: Pain Au Cafe Shop Available balance: QAR 138.27.</t>
  </si>
  <si>
    <t>2025-12-29T00:17:00</t>
  </si>
  <si>
    <t>OLIVIA RESTAURANT</t>
  </si>
  <si>
    <t>Your debit card has been used for a purchase, details: Card number: MDEBIT2 Amount: QAR 89 Location: OLIVIA RESTAURANT Available balance: QAR 8274.04</t>
  </si>
  <si>
    <t>WOQOD - AL EGLA (LUSAI</t>
  </si>
  <si>
    <t>Your debit card has been used for a purchase, details: Card number: MDEBIT2 Amount: QAR 5 Location: WOQOD - AL EGLA (LUSAI Available balance: QAR 8269.04</t>
  </si>
  <si>
    <t>2025-12-28T18:07:00</t>
  </si>
  <si>
    <t>URBAN WASH LAUNDRY</t>
  </si>
  <si>
    <t>Your debit card has been used for a purchase, details: Card number: MDEBIT2 Amount: QAR 110 Location: URBAN WASH LAUNDRY Available balance: QAR 8363.04</t>
  </si>
  <si>
    <t>2025-12-28T11:16:00</t>
  </si>
  <si>
    <t>There was a fund transfer to your account, Details: Account number: CURRENT1 Amount: QAR 30 From Alias: 33413435 Value Date: 28-12-2025 The Available Balance is: QAR 8473.04</t>
  </si>
  <si>
    <t>2025-12-28T07:40:00</t>
  </si>
  <si>
    <t>Your credit card has been used for a purchase. Details: Card number: VISA2 Amount: QAR 85.9 Location: Keeta Available balance: QAR 180.71.</t>
  </si>
  <si>
    <t>There was a fund transfer to your account, Details: Account number: CURRENT1 Amount: QAR 30 From Alias: 33131126 Value Date: 28-12-2025 The Available Balance is: QAR 8433.2</t>
  </si>
  <si>
    <t>2025-12-27T22:01:00</t>
  </si>
  <si>
    <t>AMAZON PRIME PMTS</t>
  </si>
  <si>
    <t>Your credit card has been used for a purchase. Details: Card number: VISA2 Amount: USD 16.32 approx. Location: AMAZON PRIME PMTS Available balance: QAR 266.61.</t>
  </si>
  <si>
    <t>Your debit card has been used for a purchase, details: Card number: MDEBIT2 Amount: QAR 60 Location: Talabat QFC LLC Available balance: QAR 8403.2</t>
  </si>
  <si>
    <t>2025-12-27T20:36:00</t>
  </si>
  <si>
    <t>Your credit card has been used for a purchase. Details: Card number: VISA2 Amount: QAR 137.5 Location: Talabat QFC LLC Available balance: QAR 327.2.</t>
  </si>
  <si>
    <t>2025-12-27T17:03:00</t>
  </si>
  <si>
    <t>Your debit card has been used for a purchase, details: Card number: MDEBIT2 Amount: QAR 79 Location: Keeta Available balance: QAR 8865</t>
  </si>
  <si>
    <t>2025-12-27T14:55:00</t>
  </si>
  <si>
    <t>Ooredoo QPSC</t>
  </si>
  <si>
    <t>Your debit card has been used for a purchase, details: Card number: MDEBIT2 Amount: QAR 309 Location: Ooredoo QPSC Available balance: QAR 8946.37</t>
  </si>
  <si>
    <t>2025-12-27T10:01:00</t>
  </si>
  <si>
    <t>Your credit card has been used for a purchase. Details: Card number: VISA2 Amount: QAR 70.9 Location: Keeta Available balance: QAR 64.7.</t>
  </si>
  <si>
    <t>2025-12-26T23:47:00</t>
  </si>
  <si>
    <t>HAMAD INTER.AIRPORT AR</t>
  </si>
  <si>
    <t>Your QNB debit card has been used, below are the details: Debit card: MDEBIT2 Amount: QAR 500 Location: HAMAD INTER.AIRPORT AR Available balance: QAR 10208.64.</t>
  </si>
  <si>
    <t>QDF ARRIVAL</t>
  </si>
  <si>
    <t>Your debit card has been used for a purchase, details: Card number: MDEBIT2 Amount: QAR 283 Location: QDF ARRIVAL Available balance: QAR 9925.64</t>
  </si>
  <si>
    <t>QATAR RAIL</t>
  </si>
  <si>
    <t>Your debit card has been used for a purchase, details: Card number: MDEBIT2 Amount: QAR 60 Location: QATAR RAIL Available balance: QAR 9865.64</t>
  </si>
  <si>
    <t>Your credit card has been used for a purchase. Details: Card number: VISA2 Amount: QAR 7.94 approx. Location: UBER * PENDING Available balance: QAR 135.6.</t>
  </si>
  <si>
    <t>Your debit card has been used for a purchase, details: Card number: MDEBIT2 Amount: QAR 23.5 Location: Keeta Available balance: QAR 9841.44</t>
  </si>
  <si>
    <t>Lulu hypermarket Ipg</t>
  </si>
  <si>
    <t>Your debit card has been used for a purchase, details: Card number: MDEBIT2 Amount: QAR 569 Location: Lulu hypermarket Ipg Available balance: QAR 9255.37</t>
  </si>
  <si>
    <t>2025-12-26T19:26:00</t>
  </si>
  <si>
    <t>57 D</t>
  </si>
  <si>
    <t>Your credit card has been used for a purchase. Details: Card number: VISA2 Amount: USD 64 approx. Location: 57 D Available balance: QAR 223.37.</t>
  </si>
  <si>
    <t>BAR TARTINE</t>
  </si>
  <si>
    <t>Your credit card has been used for a purchase. Details: Card number: VISA2 Amount: USD 12.5 approx. Location: BAR TARTINE Available balance: QAR 176.96.</t>
  </si>
  <si>
    <t>BURGER KING-DEP1</t>
  </si>
  <si>
    <t>Your credit card has been used for a purchase. Details: Card number: VISA2 Amount: USD 9 approx. Location: BURGER KING-DEP1 Available balance: QAR 143.54.</t>
  </si>
  <si>
    <t>2025-12-26T03:03:00</t>
  </si>
  <si>
    <t>TORINO EXPRESS</t>
  </si>
  <si>
    <t>Your debit card has been used for a purchase, details: Card number: MDEBIT2 Amount: USD 14 Location: TORINO EXPRESS Available balance: QAR 11061.05</t>
  </si>
  <si>
    <t>MONDAYS OFF</t>
  </si>
  <si>
    <t>Your debit card has been used for a purchase, details: Card number: MDEBIT2 Amount: USD 18 Location: MONDAYS OFF Available balance: QAR 10993.57</t>
  </si>
  <si>
    <t>Your debit card has been used for a purchase, details: Card number: MDEBIT2 Amount: USD 16 Location: MONDAYS OFF Available balance: QAR 10933.59</t>
  </si>
  <si>
    <t>Your debit card has been used for a purchase, details: Card number: MDEBIT2 Amount: USD 35 Location: MONDAYS OFF Available balance: QAR 10802.37</t>
  </si>
  <si>
    <t>Your debit card has been used for a purchase, details: Card number: MDEBIT2 Amount: USD 25 Location: MONDAYS OFF Available balance: QAR 10708.64</t>
  </si>
  <si>
    <t>2025-12-25T22:22:00</t>
  </si>
  <si>
    <t>Rawan Kelly Wehbe</t>
  </si>
  <si>
    <t>Transfer</t>
  </si>
  <si>
    <t>Funds were transferred from your account, Details: Account number: CURRENT1 Amount: QAR 700 To beneficiary: Rawan Kelly Wehbe Value Date: 25-12-2025 Swift Reference: MS4049492047 Available Balance: 11</t>
  </si>
  <si>
    <t>2025-12-25T20:51:00</t>
  </si>
  <si>
    <t>MANGO HOSPITALITY LB S</t>
  </si>
  <si>
    <t>Your credit card has been used for a purchase. Details: Card number: VISA2 Amount: USD 14.5 approx. Location: MANGO HOSPITALITY LB S Available balance: QAR 460.99.</t>
  </si>
  <si>
    <t>BISTROWISORS-TERRIBLE</t>
  </si>
  <si>
    <t>Your debit card has been used for a purchase, details: Card number: MDEBIT2 Amount: USD 122 Location: BISTROWISORS-TERRIBLE Available balance: QAR 11855.4</t>
  </si>
  <si>
    <t>Your debit card has been used for a purchase, details: Card number: MDEBIT2 Amount: QAR 36.77 Location: PAYPAL *GITHUB INC Available balance: QAR 11817.53</t>
  </si>
  <si>
    <t>2025-12-25T13:37:00</t>
  </si>
  <si>
    <t>Aleksandra Backic</t>
  </si>
  <si>
    <t>Funds were transferred from your account, Details: Account number: CURRENT1 Amount: QAR 1450 To beneficiary: Aleksandra Backic Value Date: 25-12-2025 Swift Reference: MS4049459645 Available Balance: 1</t>
  </si>
  <si>
    <t>Your credit card has been used for a purchase. Details: Card number: VISA2 Amount: QAR 40 Location: Ooredoo CC Top Up Available balance: QAR 514.83.</t>
  </si>
  <si>
    <t>2025-12-25T11:41:00</t>
  </si>
  <si>
    <t>Samer Bou Nassif</t>
  </si>
  <si>
    <t>Funds were transferred from your account, Details: Account number: CURRENT1 Amount: QAR 4000 To beneficiary: Samer Bou Nassif Value Date: 25-12-2025 Swift Reference: MS4049449976 Available Balance: 14</t>
  </si>
  <si>
    <t>EUR</t>
  </si>
  <si>
    <t>G2A.COM</t>
  </si>
  <si>
    <t>Your debit card has been used for a purchase, details: Card number: MDEBIT2 Amount: EUR 76.98 Location: G2A.COM Available balance: QAR 13766.8</t>
  </si>
  <si>
    <t>2025-12-25T09:59:00</t>
  </si>
  <si>
    <t>SALARY</t>
  </si>
  <si>
    <t>Your salary is credited to your account: Account number: CURRENT1 Salary amount: QAR 18000 Value Date: 25-12-2025 Available Balance: 18611.64</t>
  </si>
  <si>
    <t>2025-12-24T21:17:00</t>
  </si>
  <si>
    <t>Your debit card has been used for a purchase, details: Card number: MDEBIT2 Amount: QAR 15.19 Location: PAYPAL *GITHUB INC Available balance: QAR 605.59</t>
  </si>
  <si>
    <t>2025-12-24T13:16:00</t>
  </si>
  <si>
    <t>SPINNEYS AJALTOUN</t>
  </si>
  <si>
    <t>Your debit card has been used for a purchase, details: Card number: MDEBIT2 Amount: USD 40.86 Location: SPINNEYS AJALTOUN Available balance: QAR 621.23</t>
  </si>
  <si>
    <t>2025-12-23T21:25:00</t>
  </si>
  <si>
    <t>ABC DBAYEH</t>
  </si>
  <si>
    <t>Your debit card has been used for a purchase, details: Card number: MDEBIT2 Amount: USD 215 Location: ABC DBAYEH Available balance: QAR 774.42</t>
  </si>
  <si>
    <t>2025-12-23T20:14:00</t>
  </si>
  <si>
    <t>KABABJI-JAL EL DIB</t>
  </si>
  <si>
    <t>Your debit card has been used for a purchase, details: Card number: MDEBIT2 Amount: USD 16 Location: KABABJI-JAL EL DIB Available balance: QAR 1580.49</t>
  </si>
  <si>
    <t>2025-12-23T19:07:00</t>
  </si>
  <si>
    <t>PHARMACIE MUSEE</t>
  </si>
  <si>
    <t>Your debit card has been used for a purchase, details: Card number: MDEBIT2 Amount: USD 110 Location: PHARMACIE MUSEE Available balance: QAR 1640.47</t>
  </si>
  <si>
    <t>2025-12-23T13:19:00</t>
  </si>
  <si>
    <t>FACT SPECIAL PROJECTS FOR SERVIES</t>
  </si>
  <si>
    <t>There was a fund transfer to your account, Details: Account number: CURRENT1 Amount: QAR 2000 From: FACT SPECIAL PROJECTS FOR SERVIES Value Date: 23-12-2025 The Available Balance is: 2052.88</t>
  </si>
  <si>
    <t>2025-12-19T02:02:00</t>
  </si>
  <si>
    <t>ALFA - PREPAID</t>
  </si>
  <si>
    <t>Your credit card has been used for a purchase. Details: Card number: VISA2 Amount: USD 25.45 approx. Location: ALFA - PREPAID Available balance: QAR 158.55.</t>
  </si>
  <si>
    <t>BEIRUT DUTY FRE</t>
  </si>
  <si>
    <t>Your credit card has been used for a purchase. Details: Card number: VISA2 Amount: USD 27.8 approx. Location: BEIRUT DUTY FRE Available balance: QAR 55.33.</t>
  </si>
  <si>
    <t>2025-12-18T20:08:00</t>
  </si>
  <si>
    <t>QDF CENTRAL CONCOURSE</t>
  </si>
  <si>
    <t>Your debit card has been used for a purchase, details: Card number: MDEBIT2 Amount: QAR 384 Location: QDF CENTRAL CONCOURSE Available balance: QAR 83.35</t>
  </si>
  <si>
    <t>QDF CD104 DAY2DAY</t>
  </si>
  <si>
    <t>Your debit card has been used for a purchase, details: Card number: MDEBIT2 Amount: QAR 31.16 Location: QDF CD104 DAY2DAY Available balance: QAR 52.19</t>
  </si>
  <si>
    <t>2025-12-18T18:54:00</t>
  </si>
  <si>
    <t>Your credit card has been used for a purchase. Details: Card number: VISA2 Amount: QAR 56.93 approx. Location: UBER * PENDING Available balance: QAR 253.04.</t>
  </si>
  <si>
    <t>2025-12-18T13:24:00</t>
  </si>
  <si>
    <t>MEGA MART</t>
  </si>
  <si>
    <t>Your debit card has been used for a purchase, details: Card number: MDEBIT2 Amount: QAR 80 Location: MEGA MART Available balance: QAR 467.35</t>
  </si>
  <si>
    <t>2025-12-18T03:34:00</t>
  </si>
  <si>
    <t>FALAQ FOOD CENTRE</t>
  </si>
  <si>
    <t>Your debit card has been used for a purchase, details: Card number: MDEBIT2 Amount: QAR 15 Location: FALAQ FOOD CENTRE Available balance: QAR 540.49</t>
  </si>
  <si>
    <t>2025-12-17T22:07:00</t>
  </si>
  <si>
    <t>ALFARDANEXCHANGE VENDO</t>
  </si>
  <si>
    <t>Your debit card has been used for a purchase, details: Card number: MDEBIT2 Amount: QAR 8763 Location: ALFARDANEXCHANGE VENDO Available balance: QAR 555.49</t>
  </si>
  <si>
    <t>2025-12-17T17:55:00</t>
  </si>
  <si>
    <t>Your debit card has been used for a purchase, details: Card number: MDEBIT2 Amount: QAR 47.49 Location: PAYPAL *BATTLE.NET EU3 Available balance: QAR 9618.49</t>
  </si>
  <si>
    <t>Your debit card has been used for a purchase, details: Card number: MDEBIT2 Amount: QAR 300 Location: MAGNUM HOTEL CONSULTAN Available balance: QAR 9318.49</t>
  </si>
  <si>
    <t>WOQOD - AL DAFNA PS</t>
  </si>
  <si>
    <t>Your credit card has been used for a purchase. Details: Card number: VISA2 Amount: QAR 122 Location: WOQOD - AL DAFNA PS Available balance: QAR 309.97.</t>
  </si>
  <si>
    <t>2025-12-17T10:59:00</t>
  </si>
  <si>
    <t>Your credit card has been used for a purchase. Details: Card number: VISA2 Amount: USD 14.98 approx. Location: GAMMA.APP Available balance: QAR 431.97.</t>
  </si>
  <si>
    <t>2025-12-17T08:13:00</t>
  </si>
  <si>
    <t>Your credit card has been used for a purchase. Details: Card number: VISA2 Amount: QAR 25 Location: Keeta Available balance: QAR 524.72.</t>
  </si>
  <si>
    <t>There was a fund transfer to your account, Details: Account number: CURRENT1 Amount: QAR 7500 From: AFIF BOU NASSIF OR NICOLE DAOU Value Date: 17-12-2025 The Available Balance is: 9704.89</t>
  </si>
  <si>
    <t>Your debit card has been used for a purchase, details: Card number: MDEBIT2 Amount: USD 10 Location: ANTHROPIC Available balance: QAR 9667.4</t>
  </si>
  <si>
    <t>Your credit card has been used for a purchase. Details: Card number: VISA2 Amount: USD 10 approx. Location: GAMMA.APP Available balance: QAR 487.59.</t>
  </si>
  <si>
    <t>2025-12-16T19:48:00</t>
  </si>
  <si>
    <t>VOGUE MENS SALON</t>
  </si>
  <si>
    <t>Your debit card has been used for a purchase, details: Card number: MDEBIT2 Amount: QAR 130 Location: VOGUE MENS SALON Available balance: QAR 2834.67</t>
  </si>
  <si>
    <t>Your debit card has been used for a purchase, details: Card number: MDEBIT2 Amount: QAR 126 Location: Keeta Available balance: QAR 2704.89</t>
  </si>
  <si>
    <t>2025-12-16T18:17:00</t>
  </si>
  <si>
    <t>FAT BURGER</t>
  </si>
  <si>
    <t>Your credit card has been used for a purchase. Details: Card number: VISA2 Amount: QAR 38 Location: FAT BURGER Available balance: QAR 81.72.</t>
  </si>
  <si>
    <t>THE MARKET HALL</t>
  </si>
  <si>
    <t>Your credit card has been used for a purchase. Details: Card number: VISA2 Amount: QAR 32 Location: THE MARKET HALL Available balance: QAR 49.72.</t>
  </si>
  <si>
    <t>There was a fund transfer to your account, Details: Account number: CURRENT1 Amount: QAR 1200 From: AFIF BOU NASSIF OR NICOLE DAOU Value Date: 16-12-2025 The Available Balance is: 2964.67</t>
  </si>
  <si>
    <t>2025-12-16T09:29:00</t>
  </si>
  <si>
    <t>There was a fund transfer to your account, Details: Account number: CURRENT1 Amount: QAR 25 From Alias: 33413435 Value Date: 16-12-2025 The Available Balance is: QAR 1764.67</t>
  </si>
  <si>
    <t>2025-12-16T07:46:00</t>
  </si>
  <si>
    <t>Your debit card has been used for a purchase, details: Card number: MDEBIT2 Amount: QAR 72.6 Location: Keeta Available balance: QAR 1739.67</t>
  </si>
  <si>
    <t>2025-12-15T20:30:00</t>
  </si>
  <si>
    <t>IKEA</t>
  </si>
  <si>
    <t>Your credit card has been used for a purchase. Details: Card number: VISA2 Amount: QAR 5 Location: IKEA Available balance: QAR 145.72.</t>
  </si>
  <si>
    <t>BOOTS</t>
  </si>
  <si>
    <t>Your credit card has been used for a purchase. Details: Card number: VISA2 Amount: QAR 26 Location: BOOTS Available balance: QAR 119.72.</t>
  </si>
  <si>
    <t>MONOPRIX HYPERMARKET</t>
  </si>
  <si>
    <t>Your debit card has been used for a purchase, details: Card number: MDEBIT2 Amount: QAR 130.25 Location: MONOPRIX HYPERMARKET Available balance: QAR 2033.44</t>
  </si>
  <si>
    <t>MARKS &amp; SPENCER</t>
  </si>
  <si>
    <t>Your debit card has been used for a purchase, details: Card number: MDEBIT2 Amount: QAR 219 Location: MARKS &amp; SPENCER Available balance: QAR 1814.44</t>
  </si>
  <si>
    <t>2025-12-15T19:16:00</t>
  </si>
  <si>
    <t>MUJI</t>
  </si>
  <si>
    <t>Your credit card has been used for a purchase. Details: Card number: VISA2 Amount: QAR 9 Location: MUJI Available balance: QAR 651.72.</t>
  </si>
  <si>
    <t>Your credit card has been used for a purchase. Details: Card number: VISA2 Amount: QAR 28 Location: RAISING CANES Available balance: QAR 623.72.</t>
  </si>
  <si>
    <t>LEGO</t>
  </si>
  <si>
    <t>Your credit card has been used for a purchase. Details: Card number: VISA2 Amount: QAR 314 Location: LEGO Available balance: QAR 309.72.</t>
  </si>
  <si>
    <t>Your credit card has been used for a purchase. Details: Card number: VISA2 Amount: QAR 3 Location: RAISING CANES Available balance: QAR 306.72.</t>
  </si>
  <si>
    <t>POTTERY BARN</t>
  </si>
  <si>
    <t>Your credit card has been used for a purchase. Details: Card number: VISA2 Amount: QAR 156 Location: POTTERY BARN Available balance: QAR 150.72.</t>
  </si>
  <si>
    <t>2025-12-14T20:22:00</t>
  </si>
  <si>
    <t>Your debit card has been used for a purchase, details: Card number: MDEBIT2 Amount: QAR 44.19 Location: PAYPAL *GAMER2GAMER Available balance: QAR 2163.69</t>
  </si>
  <si>
    <t>2025-12-14T18:14:00</t>
  </si>
  <si>
    <t>ALIF STORE</t>
  </si>
  <si>
    <t>Your credit card has been used for a purchase. Details: Card number: VISA2 Amount: QAR 578 Location: ALIF STORE Available balance: QAR 660.72.</t>
  </si>
  <si>
    <t>2025-12-14T07:36:00</t>
  </si>
  <si>
    <t>Your credit card has been used for a purchase. Details: Card number: VISA2 Amount: QAR 42 Location: Pain Au Cafe Shop Available balance: QAR 1238.72.</t>
  </si>
  <si>
    <t>2025-12-13T15:01:00</t>
  </si>
  <si>
    <t>Your credit card has been used for a purchase. Details: Card number: VISA2 Amount: QAR 65.6 Location: Keeta Available balance: QAR 1280.72.</t>
  </si>
  <si>
    <t>2025-12-13T02:17:00</t>
  </si>
  <si>
    <t>Your credit card has been used for a purchase. Details: Card number: VISA2 Amount: QAR 53.2 Location: Keeta Available balance: QAR 1346.32.</t>
  </si>
  <si>
    <t>2025-12-12T19:46:00</t>
  </si>
  <si>
    <t>Your credit card has been used for a purchase. Details: Card number: VISA2 Amount: QAR 18 Location: Keeta Available balance: QAR 1399.52.</t>
  </si>
  <si>
    <t>2025-12-12T13:00:00</t>
  </si>
  <si>
    <t>Your credit card has been used for a purchase. Details: Card number: VISA2 Amount: QAR 40 Location: Keeta Available balance: QAR 1417.52.</t>
  </si>
  <si>
    <t>2025-12-12T11:25:00</t>
  </si>
  <si>
    <t>Your credit card has been used for a purchase. Details: Card number: VISA2 Amount: QAR 27.6 Location: Keeta Available balance: QAR 1457.52.</t>
  </si>
  <si>
    <t>2025-12-11T23:17:00</t>
  </si>
  <si>
    <t>Your credit card has been used for a purchase. Details: Card number: VISA2 Amount: QAR 59 Location: Keeta Available balance: QAR 1485.12.</t>
  </si>
  <si>
    <t>2025-12-11T19:53:00</t>
  </si>
  <si>
    <t>PULLMAN HOTELS</t>
  </si>
  <si>
    <t>Your credit card has been used for a purchase. Details: Card number: VISA2 Amount: QAR 420 Location: PULLMAN HOTELS Available balance: QAR 1544.12.</t>
  </si>
  <si>
    <t>2025-12-11T12:24:00</t>
  </si>
  <si>
    <t>There was a fund transfer to your account, Details: Account number: CURRENT1 Amount: QAR 60 From Alias: QA55XXXXXXXXXXXXXXXXXXX023001 Value Date: 11-12-2025 The Available Balance is: QAR 2208.57</t>
  </si>
  <si>
    <t>2025-12-11T07:34:00</t>
  </si>
  <si>
    <t>Your credit card has been used for a purchase. Details: Card number: VISA2 Amount: QAR 169 Location: Keeta Available balance: QAR 1964.16.</t>
  </si>
  <si>
    <t>2025-12-10T16:55:00</t>
  </si>
  <si>
    <t>Your credit card has been used for a purchase. Details: Card number: VISA2 Amount: QAR 59 Location: Keeta Available balance: QAR 2133.16.</t>
  </si>
  <si>
    <t>2025-12-10T08:50:00</t>
  </si>
  <si>
    <t>Your credit card has been used for a purchase. Details: Card number: VISA2 Amount: USD 5 approx. Location: MEDIUM MONTHLY Available balance: QAR 1172.38.</t>
  </si>
  <si>
    <t>2025-12-09T21:20:00</t>
  </si>
  <si>
    <t>Your debit card has been used for a purchase, details: Card number: MDEBIT2 Amount: QAR 43.92 Location: PAYPAL *GAMER2GAMER Available balance: QAR 3168.35</t>
  </si>
  <si>
    <t>2025-12-09T20:04:00</t>
  </si>
  <si>
    <t>Your salary is credited to your account: Account number: CURRENT1 Salary amount: QAR 2500 Value Date: 09-12-2025 Available Balance: 3213.58</t>
  </si>
  <si>
    <t>2025-12-09T16:37:00</t>
  </si>
  <si>
    <t>Your credit card has been used for a purchase. Details: Card number: VISA2 Amount: QAR 79 Location: Keeta Available balance: QAR 1190.94.</t>
  </si>
  <si>
    <t>2025-12-09T08:29:00</t>
  </si>
  <si>
    <t>There was a fund transfer to your account, Details: Account number: CURRENT1 Amount: QAR 25 From Alias: 33413435 Value Date: 09-12-2025 The Available Balance is: QAR 713.58</t>
  </si>
  <si>
    <t>2025-12-09T07:32:00</t>
  </si>
  <si>
    <t>Your credit card has been used for a purchase. Details: Card number: VISA2 Amount: QAR 103.4 Location: Keeta Available balance: QAR 1269.94.</t>
  </si>
  <si>
    <t>2025-12-08T16:08:00</t>
  </si>
  <si>
    <t>Your credit card has been used for a purchase. Details: Card number: VISA2 Amount: QAR 30 Location: WOQOD - AL EGLA (LUSAI Available balance: QAR 1373.34.</t>
  </si>
  <si>
    <t>2025-12-07T16:36:00</t>
  </si>
  <si>
    <t>Your credit card has been used for a purchase. Details: Card number: VISA2 Amount: QAR 34.3 Location: Keeta Available balance: QAR 1403.83.</t>
  </si>
  <si>
    <t>2025-12-07T07:59:00</t>
  </si>
  <si>
    <t>Your credit card has been used for a purchase. Details: Card number: VISA2 Amount: QAR 25 Location: Talabat QFC LLC Available balance: QAR 1660.9.</t>
  </si>
  <si>
    <t>Your credit card has been used for a purchase. Details: Card number: VISA2 Amount: USD 60 approx. Location: OPENAI *CHATGPT SUBSCR Available balance: QAR 1438.13.</t>
  </si>
  <si>
    <t>2025-12-06T20:46:00</t>
  </si>
  <si>
    <t>Your credit card has been used for a purchase. Details: Card number: VISA2 Amount: QAR 13.94 approx. Location: UBR* PENDING.UBER.COM Available balance: QAR 1685.9.</t>
  </si>
  <si>
    <t>2025-12-06T14:08:00</t>
  </si>
  <si>
    <t>Your credit card has been used for a purchase. Details: Card number: VISA2 Amount: QAR 65.3 Location: Keeta Available balance: QAR 1699.84.</t>
  </si>
  <si>
    <t>2025-12-05T23:42:00</t>
  </si>
  <si>
    <t>Your credit card has been used for a purchase. Details: Card number: VISA2 Amount: QAR 51.2 Location: Keeta Available balance: QAR 765.14.</t>
  </si>
  <si>
    <t>2025-12-05T15:33:00</t>
  </si>
  <si>
    <t>Your credit card has been used for a purchase. Details: Card number: VISA2 Amount: QAR 25 Location: Talabat QFC LLC Available balance: QAR 816.34.</t>
  </si>
  <si>
    <t>2025-12-04T23:02:00</t>
  </si>
  <si>
    <t>Your credit card has been used for a purchase. Details: Card number: VISA2 Amount: QAR 160 Location: WOQOD - AL EGLA (LUSAI Available balance: QAR 841.34.</t>
  </si>
  <si>
    <t>2025-12-04T15:07:00</t>
  </si>
  <si>
    <t>Your debit card has been used for a purchase, details: Card number: MDEBIT2 Amount: QAR 80 Location: CENTRA SUPERMARKETS AN Available balance: QAR 1765.69</t>
  </si>
  <si>
    <t>Your debit card has been used for a purchase, details: Card number: MDEBIT2 Amount: QAR 80 Location: CENTRA SUPERMARKETS AN Available balance: QAR 1685.69</t>
  </si>
  <si>
    <t>2025-12-04T12:05:00</t>
  </si>
  <si>
    <t>Your debit card has been used for a purchase, details: Card number: MDEBIT2 Amount: USD 10 Location: ANTHROPIC Available balance: QAR 1845.69</t>
  </si>
  <si>
    <t>2025-12-04T08:16:00</t>
  </si>
  <si>
    <t>Your credit card has been used for a purchase. Details: Card number: VISA2 Amount: QAR 21.56 Location: Keeta Available balance: QAR 1001.34.</t>
  </si>
  <si>
    <t>2025-12-03T23:39:00</t>
  </si>
  <si>
    <t>FOUR SEASONS DOHA CURI</t>
  </si>
  <si>
    <t>Your credit card has been used for a purchase. Details: Card number: VISA2 Amount: QAR 160 Location: FOUR SEASONS DOHA CURI Available balance: QAR 1022.9.</t>
  </si>
  <si>
    <t>USD_WALLET</t>
  </si>
  <si>
    <t>Your USD Wallet has been used for a purchase for USD 1.81 approx. at RENDER.COM and the available balance is USD 6.52.</t>
  </si>
  <si>
    <t>2025-12-03T17:36:00</t>
  </si>
  <si>
    <t>Your credit card has been used for a purchase. Details: Card number: VISA2 Amount: QAR 78.5 Location: Talabat QFC LLC Available balance: QAR 1182.9.</t>
  </si>
  <si>
    <t>2025-12-03T16:27:00</t>
  </si>
  <si>
    <t>PRIMARY HEALTH CARE CO</t>
  </si>
  <si>
    <t>Your debit card has been used for a purchase, details: Card number: MDEBIT2 Amount: QAR 2.1 Location: PRIMARY HEALTH CARE CO Available balance: QAR 1879.72</t>
  </si>
  <si>
    <t>2025-12-02T15:12:00</t>
  </si>
  <si>
    <t>PAYPAL *BLIZZARD EU313</t>
  </si>
  <si>
    <t>Your debit card has been used for a purchase, details: Card number: MDEBIT2 Amount: QAR 179 Location: PAYPAL *BLIZZARD EU313 Available balance: QAR 1881.82</t>
  </si>
  <si>
    <t>2025-12-01T21:08:00</t>
  </si>
  <si>
    <t>MISSUS WASH LAUNDRY</t>
  </si>
  <si>
    <t>Your credit card has been used for a purchase. Details: Card number: VISA2 Amount: QAR 60 Location: MISSUS WASH LAUNDRY Available balance: QAR 1261.49.</t>
  </si>
  <si>
    <t>2025-12-01T18:04:00</t>
  </si>
  <si>
    <t>31104707</t>
  </si>
  <si>
    <t>Your funds transfer request using Fawran has been processed successfully, details: To Alias: 31104707 Amount: QAR 250 The Available Balance is: QAR 2066.17</t>
  </si>
  <si>
    <t>2025-12-01T15:55:00</t>
  </si>
  <si>
    <t>Google GSUITE fact.qa</t>
  </si>
  <si>
    <t>Your credit card has been used for a purchase. Details: Card number: VISA2 Amount: USD 17.92 approx. Location: Google GSUITE fact.qa Available balance: QAR 1321.49.</t>
  </si>
  <si>
    <t>2025-12-01T09:28:00</t>
  </si>
  <si>
    <t>Your credit card has been used for a purchase. Details: Card number: VISA2 Amount: QAR 37.94 Location: Keeta Available balance: QAR 1388.02.</t>
  </si>
  <si>
    <t>2025-12-01T06:12:00</t>
  </si>
  <si>
    <t>Your debit card has been used for a purchase, details: Card number: MDEBIT2 Amount: QAR 52 Location: PAYPAL *GAMER2GAMER Available balance: QAR 2316.17</t>
  </si>
  <si>
    <t>2025-11-30T20:58:00</t>
  </si>
  <si>
    <t>Your credit card has been used for a purchase. Details: Card number: VISA2 Amount: QAR 25.2 Location: Keeta Available balance: QAR 1425.96.</t>
  </si>
  <si>
    <t>2025-11-30T18:46:00</t>
  </si>
  <si>
    <t>Your debit card has been used for a purchase, details: Card number: MDEBIT2 Amount: USD 20 Location: CLAUDE.AI SUBSCRIPTION Available balance: QAR 2369.73</t>
  </si>
  <si>
    <t>2025-11-30T13:20:00</t>
  </si>
  <si>
    <t>Your credit card has been used for a purchase. Details: Card number: VISA2 Amount: QAR 19 Location: Pain Au Cafe Shop Available balance: QAR 1451.41.</t>
  </si>
  <si>
    <t>2025-11-30T07:50:00</t>
  </si>
  <si>
    <t>Your credit card has been used for a purchase. Details: Card number: VISA2 Amount: QAR 27 Location: Pain Au Cafe Shop Available balance: QAR 1470.41.</t>
  </si>
  <si>
    <t>2025-11-29T14:31:00</t>
  </si>
  <si>
    <t>LWZAAR</t>
  </si>
  <si>
    <t>Your debit card has been used for a purchase, details: Card number: MDEBIT2 Amount: QAR 493.42 Location: LWZAAR Available balance: QAR 2442.54</t>
  </si>
  <si>
    <t>2025-11-29T00:42:00</t>
  </si>
  <si>
    <t>AURA YACHT CLUB RESTAU</t>
  </si>
  <si>
    <t>Your credit card has been used for a purchase. Details: Card number: VISA2 Amount: QAR 40 Location: AURA YACHT CLUB RESTAU Available balance: QAR 1781.41.</t>
  </si>
  <si>
    <t>Your credit card has been used for a purchase. Details: Card number: VISA2 Amount: QAR 110 Location: AURA YACHT CLUB RESTAU Available balance: QAR 1671.41.</t>
  </si>
  <si>
    <t>Your credit card has been used for a purchase. Details: Card number: VISA2 Amount: QAR 110 Location: AURA YACHT CLUB RESTAU Available balance: QAR 1561.41.</t>
  </si>
  <si>
    <t>Your credit card has been used for a purchase. Details: Card number: VISA2 Amount: QAR 64 Location: Keeta Available balance: QAR 1497.41.</t>
  </si>
  <si>
    <t>2025-11-28T15:44:00</t>
  </si>
  <si>
    <t>Your credit card has been used for a purchase. Details: Card number: VISA2 Amount: QAR 177 Location: DUSIT HOTEL AND SUITES Available balance: QAR 2678.36.</t>
  </si>
  <si>
    <t>Your credit card has been used for a purchase. Details: Card number: VISA2 Amount: QAR 177 Location: DUSIT HOTEL AND SUITES Available balance: QAR 2501.36.</t>
  </si>
  <si>
    <t>Your credit card has been used for a purchase. Details: Card number: VISA2 Amount: QAR 177 Location: DUSIT HOTEL AND SUITES Available balance: QAR 2324.36.</t>
  </si>
  <si>
    <t>Your credit card has been used for a purchase. Details: Card number: VISA2 Amount: QAR 508 Location: DUSIT HOTEL AND SUITES Available balance: QAR 1816.36.</t>
  </si>
  <si>
    <t>2025-11-28T13:02:00</t>
  </si>
  <si>
    <t>CARREFOUR</t>
  </si>
  <si>
    <t>Your credit card has been used for a purchase. Details: Card number: VISA2 Amount: QAR 82.25 Location: CARREFOUR Available balance: QAR 2855.36.</t>
  </si>
  <si>
    <t>2025-11-28T12:51:00</t>
  </si>
  <si>
    <t>THE APPROVED MARKET</t>
  </si>
  <si>
    <t>Your credit card has been used for a purchase. Details: Card number: VISA2 Amount: QAR 14 Location: THE APPROVED MARKET Available balance: QAR 2937.61.</t>
  </si>
  <si>
    <t>2025-11-28T11:17:00</t>
  </si>
  <si>
    <t>Funds were transferred from your account, Details: Account number: CURRENT1 Amount: QAR 4000 To beneficiary: Samer Bou Nassif Value Date: 28-11-2025 Swift Reference: MS3847947189 Available Balance: 29</t>
  </si>
  <si>
    <t>2025-11-27T21:51:00</t>
  </si>
  <si>
    <t>Your credit card has been used for a purchase. Details: Card number: VISA2 Amount: USD 1.36 approx. Location: AMAZON PRIME PMTS Available balance: QAR 3660.14.</t>
  </si>
  <si>
    <t>Your credit card has been used for a purchase. Details: Card number: VISA2 Amount: USD 46.2 approx. Location: G2A.COM Available balance: QAR 3488.61.</t>
  </si>
  <si>
    <t>FNAC VENDOME</t>
  </si>
  <si>
    <t>Your credit card has been used for a purchase. Details: Card number: VISA2 Amount: QAR 399 Location: FNAC VENDOME Available balance: QAR 3089.61.</t>
  </si>
  <si>
    <t>URBAN OUTFITTERS VENDO</t>
  </si>
  <si>
    <t>Your credit card has been used for a purchase. Details: Card number: VISA2 Amount: QAR 138 Location: URBAN OUTFITTERS VENDO Available balance: QAR 2951.61.</t>
  </si>
  <si>
    <t>2025-11-27T19:14:00</t>
  </si>
  <si>
    <t>Your credit card has been used for a purchase. Details: Card number: VISA2 Amount: QAR 125 Location: Ooredoo CC Top Up Available balance: QAR 3665.19.</t>
  </si>
  <si>
    <t>2025-11-27T18:57:00</t>
  </si>
  <si>
    <t>Ooredoo CC Bill Paymen</t>
  </si>
  <si>
    <t>Your credit card has been used for a purchase. Details: Card number: VISA2 Amount: QAR 59.81 Location: Ooredoo CC Bill Paymen Available balance: QAR 3790.19.</t>
  </si>
  <si>
    <t>2025-11-27T18:56:00</t>
  </si>
  <si>
    <t>LULU GIARDINO MALL</t>
  </si>
  <si>
    <t>Your credit card has been used for a purchase. Details: Card number: VISA2 Amount: QAR 105 Location: LULU GIARDINO MALL Available balance: QAR 3850.</t>
  </si>
  <si>
    <t>2025-11-27T17:30:00</t>
  </si>
  <si>
    <t>skpcash*PayLater</t>
  </si>
  <si>
    <t>Your credit card has been used for a purchase. Details: Card number: VISA2 Amount: QAR 1 Location: skpcash*PayLater Available balance: QAR 3999.</t>
  </si>
  <si>
    <t>Your debit card has been used for a purchase, details: Card number: MDEBIT2 Amount: QAR 3653 Location: ALFARDANEXCHANGE VENDO Available balance: QAR 6939.96</t>
  </si>
  <si>
    <t>Your credit card has been used for a purchase. Details: Card number: VISA2 Amount: QAR 44 Location: MARKS &amp; SPENCER Available balance: QAR 3955.</t>
  </si>
  <si>
    <t>2025-11-27T15:24:00</t>
  </si>
  <si>
    <t>EvergreenOrganics-qlub</t>
  </si>
  <si>
    <t>Your debit card has been used for a purchase, details: Card number: MDEBIT2 Amount: QAR 72.45 Location: EvergreenOrganics-qlub Available balance: QAR 10834.96</t>
  </si>
  <si>
    <t>SUSHI PONTO REST</t>
  </si>
  <si>
    <t>Your debit card has been used for a purchase, details: Card number: MDEBIT2 Amount: QAR 242 Location: SUSHI PONTO REST Available balance: QAR 10592.96</t>
  </si>
  <si>
    <t>2025-11-27T11:11:00</t>
  </si>
  <si>
    <t>Your debit card has been used for a purchase, details: Card number: MDEBIT2 Amount: QAR 19 Location: Pain Au Cafe Sho Available balance: QAR 10907.99</t>
  </si>
  <si>
    <t>2025-11-27T08:47:00</t>
  </si>
  <si>
    <t>Your debit card has been used for a purchase, details: Card number: MDEBIT2 Amount: QAR 90.3 Location: Keeta Available balance: QAR 14929.99</t>
  </si>
  <si>
    <t>CITY CENTER MALL PARKI</t>
  </si>
  <si>
    <t>Your debit card has been used for a purchase, details: Card number: MDEBIT2 Amount: QAR 3 Location: CITY CENTER MALL PARKI Available balance: QAR 14926.99</t>
  </si>
  <si>
    <t>2025-11-27T07:17:15</t>
  </si>
  <si>
    <t>Afif Bou Nassif</t>
  </si>
  <si>
    <t>Funds were transferred from your account. Details: Account number: CURRENT1 Amount: QAR 3000 To Account: Afif Bou Nassif Available Balance: 15022.99</t>
  </si>
  <si>
    <t>2025-11-27T07:13:00</t>
  </si>
  <si>
    <t>Your salary is credited to your account: Account number: CURRENT1 Salary amount: QAR 18000 Value Date: 27-11-2025 Available Balance: 18022.99</t>
  </si>
  <si>
    <t>Funds were transferred from your account. Details: 
Account number: CURRENT1 
Amount: QAR 1527 
To Account: Afif Bou Nassif 
Available Balance: 8479.88 
In case the transaction is suspicious Please Ca</t>
  </si>
  <si>
    <t>There was a fund transfer to your account, Details: 
Account number: CURRENT1 
Amount: QAR 47 
From Alias: 33413435 
Value Date: 29-01-2026 
The Available Balance is: QAR 10006.88
In case this trans</t>
  </si>
  <si>
    <t>Funds were transferred from your account, Details:
Account number: CURRENT1
Amount: QAR 250
To beneficiary: Samer Bou Nassif
Value Date: 29-01-2026
Swift Reference: MS4151619477
Available Balance: 99</t>
  </si>
  <si>
    <t>Your credit card has been used for a purchase. 
Details: 
Card number: VISA2 
Amount: QAR 150 
Location: Talabat QFC LLC 
Available balance: QAR 1396.8. 
Keep using your QNB credit card to enjoy uniqu</t>
  </si>
  <si>
    <t>Your credit card has been used for a purchase.
Details:
Card number: VISA2
Amount: QAR 130
Location: DUSIT HOTEL AND SUITES
Available balance: QAR 1562.76.
Keep using your QNB credit card to enjoy uni</t>
  </si>
  <si>
    <t>Funds were transferred from your account. Details: Account number: CURRENT1 Amount: QAR 1500 To Account: Afif Bou Nassif Available Balance: 10939.4 In case the transaction is suspicious Please Call 44</t>
  </si>
  <si>
    <t xml:space="preserve">There was a fund transfer to your account, Details: Account number: CURRENT1 Amount: QAR 400 From Alias: 50371822 Value Date: 28-01-2026 The Available Balance is: QAR 12439.4 In case this transaction </t>
  </si>
  <si>
    <t>There was a fund transfer to your account, Details: Account number: CURRENT1 Amount: QAR 125 From Alias: QA55XXXXXXXXXXXXXXXXXXX023001 Value Date: 28-01-2026 The Available Balance is: QAR 12039.4 In c</t>
  </si>
  <si>
    <t xml:space="preserve">There was a fund transfer to your account, Details: Account number: CURRENT1 Amount: QAR 350 From Alias: 33131126 Value Date: 28-01-2026 The Available Balance is: QAR 11914.4 In case this transaction </t>
  </si>
  <si>
    <t xml:space="preserve">There was a fund transfer to your account, Details: Account number: CURRENT1 Amount: QAR 120 From Alias: 31645649 Value Date: 28-01-2026 The Available Balance is: QAR 11564.4 In case this transaction </t>
  </si>
  <si>
    <t>There was a fund transfer to your account, Details: Account number: CURRENT1 Amount: QAR 325 From Alias: QA28XXXXXXXXXXXXXXXXXXX016001 Value Date: 28-01-2026 The Available Balance is: QAR 11444.4 In c</t>
  </si>
  <si>
    <t>Your credit card has been used for a purchase. Details: Card number: VISA2 Amount: QAR 27 Location: Pain Au Cafe Shop Available balance: QAR 1992.76. Keep using your QNB credit card to enjoy unique be</t>
  </si>
  <si>
    <t xml:space="preserve">There was a fund transfer to your account, Details: Account number: CURRENT1 Amount: QAR 125 From Alias: 33413435 Value Date: 28-01-2026 The Available Balance is: QAR 11119.4 In case this transaction </t>
  </si>
  <si>
    <t>Funds were transferred from your account. Details: Account number: CURRENT1 Amount: QAR 4000 To Account: Afif Bou Nassif Available Balance: 10994.4 In case the transaction is suspicious Please Call 44</t>
  </si>
  <si>
    <t>MR TACO</t>
  </si>
  <si>
    <t>Your debit card has been used for a purchase, details: Card number: MDEBIT2 Amount: QAR 160 Location: MR TACO Available balance: QAR 14994.4 In case the transaction is suspicious Please Call 44407711</t>
  </si>
  <si>
    <t>ABERCROMBIE AND FITCH</t>
  </si>
  <si>
    <t xml:space="preserve">Your debit card has been used for a purchase, details: Card number: MDEBIT2 Amount: QAR 429 Location: ABERCROMBIE AND FITCH Available balance: QAR 15154.4 In case the transaction is suspicious Please </t>
  </si>
  <si>
    <t xml:space="preserve">Your debit card has been used for a purchase, details: Card number: MDEBIT2 Amount: EUR 79 Location: G2A.COM Available balance: QAR 17583.4 In case the transaction is suspicious Please Call </t>
  </si>
  <si>
    <t>Ooredoo QPSC 3</t>
  </si>
  <si>
    <t>Your debit card has been used for a purchase, details: Card number: MDEBIT2 Amount: QAR 65 Location: Ooredoo QPSC 3 Available balance: QAR 17936.1 In case the transaction is suspicious Please Call 444</t>
  </si>
  <si>
    <t>Your salary is credited to your account: Account number: CURRENT1 Salary amount: QAR 18000 Value Date: 27-01-2026 Available Balance: 18001.1 Thank you,</t>
  </si>
  <si>
    <t>Your debit card has been used for a purchase, details: Card number: MDEBIT2 Amount: QAR 5 Location: Ooredoo QPSC 3 Available balance: QAR 1.1 In case the transaction is suspicious Please Call 44407711</t>
  </si>
  <si>
    <t>Your credit card has been used for a purchase. Details: Card number: VISA2 Amount: QAR 8.96 approx. Location: UBER * PENDING Available balance: QAR 19.76. Keep using your QNB credit card to enjoy uniq</t>
  </si>
  <si>
    <t>Your credit card has been used for a purchase. Details: Card number: VISA2 Amount: QAR 18.95 approx. Location: UBR* PENDING.UBER.COM Available balance: QAR 28.72. Keep using your QNB credit card to en</t>
  </si>
  <si>
    <t>Your credit card has been used for a purchase. 
Details: 
Card number: VISA2 
Amount: QAR 7.95 approx. 
Location: UBR* PENDING.UBER.COM 
Available balance: QAR 1388.85. 
Keep using your QNB credit car</t>
  </si>
  <si>
    <t>Your credit card has been used for a purchase. 
Details: 
Card number: VISA2 
Amount: QAR 31.94 approx. 
Location: UBER * PENDING 
Available balance: QAR 1356.91. 
Keep using your QNB credit card to e</t>
  </si>
  <si>
    <t>Your credit card has been used for a purchase. 
Details: 
Card number: VISA2 
Amount: QAR 5.94 approx. 
Location: UBR* PENDING.UBER.COM 
Available balance: QAR 1350.97. 
Keep using your QNB credit car</t>
  </si>
  <si>
    <t>THE BARN RESTAURANT</t>
  </si>
  <si>
    <t>Your debit card has been used for a purchase, details:
Card number: MDEBIT2 
Amount: QAR 480
Location: THE BARN RESTAURANT
Available balance: QAR 7999.88
In case the transaction is suspicious Please C</t>
  </si>
  <si>
    <t>ST REGIS DOHA - FINANC</t>
  </si>
  <si>
    <t>Your debit card has been used for a purchase, details:
Card number: MDEBIT2 
Amount: QAR 135
Location: ST REGIS DOHA - FINANC
Available balance: QAR 7864.88
In case the transaction is suspicious Pleas</t>
  </si>
  <si>
    <t>Your debit card has been used for a purchase, details:
Card number: MDEBIT2 
Amount: QAR 255
Location: THE BARN RESTAURANT
Available balance: QAR 7744.88
In case the transaction is suspicious Please C</t>
  </si>
  <si>
    <t>Your credit card has been used for a purchase. 
Details: 
Card number: VISA2 
Amount: QAR 12.99 approx. 
Location: UBER * PENDING 
Available balance: QAR 1337.98. 
Keep using your QNB credit card to e</t>
  </si>
  <si>
    <t>Your credit card has been used for a purchase. 
Details: 
Card number: VISA2 
Amount: QAR 39.93 approx. 
Location: UBR* PENDING.UBER.COM 
Available balance: QAR 1298.05. 
Keep using you</t>
  </si>
  <si>
    <t>Your credit card has been used for a purchase. 
Details: 
Card number: VISA2 
Amount: QAR 24.96 approx. 
Location: UBR* PENDING.UBER.COM 
Available balance: QAR 1286.08. 
Keep using your QNB credit ca</t>
  </si>
  <si>
    <t>Your credit card has been used for a purchase. 
Details: 
Card number: VISA2 
Amount: QAR 1.15 approx. 
Location: UBER * PENDING 
Available balance: QAR 1284.93.</t>
  </si>
  <si>
    <t>Your debit card has been used for a purchase, details:
Card number: MDEBIT2 
Amount: QAR 309
Location: Ooredoo QPSC
Available balance: QAR 7099.88
In case the transaction is suspicious Please Call 444</t>
  </si>
  <si>
    <t>Your credit card has been used for a purchase. 
Details: 
Card number: VISA2 
Amount: QAR 30.93 approx. 
Location: UBER * PENDING 
Available balan</t>
  </si>
  <si>
    <t>Your debit card has been used for a purchase, details:
Card number: MDEBIT2 
Amount: EUR 104.25
Location: G2A.COM
Available balance: QAR 6630.94
In case the transaction is suspicious Please Call 44407</t>
  </si>
  <si>
    <t>Your credit card has been used for a purchase. 
Details: 
Card number: VISA2 
Amount: QAR 113.5 
Location: Keeta QFC LLC 
Available balance: QAR 1165.46. 
Keep using your QNB credit card to enjoy u</t>
  </si>
  <si>
    <t>IKEA QATAR</t>
  </si>
  <si>
    <t>Your credit card has been used for a purchase. 
Details: 
Card number: VISA2 
Amount: QAR 1791 
Location: IKEA QATAR 
Available balance: QAR 1382.85. 
Keep using your QNB credit card to enjoy unique b</t>
  </si>
  <si>
    <t>Date</t>
  </si>
  <si>
    <t>Insights</t>
  </si>
  <si>
    <t>2026-01-30T22:25:35.416Z</t>
  </si>
  <si>
    <t>## 1. Executive Summary (Last 30 Days)
**Income (visible in this data)**  
- Salary: **18,000 QAR** (Jan 28)  
- Other incoming transfers: **~3,922 QAR** (various people / accounts)  
  - Total inflows: **~21,922 QAR**
**Outflows (spend + transfers out)**  
- Total card/debit **outflows (excluding FX conversion to QAR)**: ≈ **~22,500–23,500 QAR**  
  - This month includes **several big one-offs** (hotels, shopping, IKEA, large cash transfers to Afif, etc.)  
  - Net: you roughly **spent/transferred about your full salary** this month.
**High-level health indicators (based only on this account view)**  
- Savings rate this month from salary alone: **~0% (possibly slightly negative)**  
- Spending is **heavily front‑loaded and lumpy** around:
  - Jan 1–2 (shopping + hotels + bar)  
  - Jan 28–31 (IKEA, restaurants, G2A, large transfers to Afif)  
- Three categories dominate:
  1. **Eating out + delivery (Talabat, Keeta, Pain Au Cafe, restaurants)** – very frequent
  2. **Transfers to Afif Bou Nassif** – **~7,027 QAR** in 3 days
  3. **One-off retail / home** – **IKEA 1,791 QAR**, **Bawwabat Al Shamal 2,410 QAR**, **Abercrombie &amp; Fitch 429 QAR**, **G2A ~two large FX payments**
**Main takeaway:**  
This looks like an **unusually heavy month** with:  
- significant **home / setup / shopping** costs  
- **high lifestyle/entertainment spend**  
- **large intra-family transfer(s)**  
All together, they erase your ability to save from this month’s salary.
---
## 2. Spending Patterns &amp; Trends
### A. Weekday vs Weekend
Based on timestamps, pattern is:
- **Weekdays (Sun–Thu in Qatar)**  
  - Regular spending on:
    - **Talabat QFC LLC / Keeta QFC LLC / Pain Au Cafe Shop** (food &amp; coffee)  
    - **Uber** rides  
    - Telco: **Ooredoo CC Top Up / Ooredoo QPSC, 309 QAR broadband**  
  - These are **consistent and predictable**.
- **Weekends (Fri–Sat)**  
  - Spikes in:
    - **Restaurants &amp; nightlife**:
      - Champions Sports Bar (290 QAR) – Jan 2
      - The Barn Restaurant (480 + 255 = 735 QAR) – Jan 30
      - St Regis Doha (135 QAR) – Jan 30
      - Mr Taco (160 QAR) – Jan 28 early morning
    - **Shopping / gaming**:
      - G2A.com (79 EUR + 104.25 EUR)
      - Abercrombie &amp; Fitch (429 QAR)
      - PAYPAL *GAMER2GAMER (54.9 QAR)
      - IKEA (1,791 QAR)
**Conclusion:**  
Your **biggest, least-controlled spikes** are **weekend or near-weekend** restaurant/entertainment + shopping.
---
### B. Time-of-Day
- **Morning (6:00–10:00)**  
  - **Pain Au Cafe Shop** (27–79 QAR per visit)  
  - Some Talabat / Keeta orders  
  - Regular pattern = **breakfast/coffee habit.**
- **Work hours (10:00–18:00)**  
  - Keeta, Talabat, small supermarkets  
  - Uber rides  
  - This looks like **workday meals + commuting**.
- **Evening (18:00–23:00)**  
  - Large restaurant spends, hotels check-in, retail, Talabat  
  - Many **Uber** charges from mid-evening into late night.  
  - G2A, gaming services, PayPal digital spend.
- **Late night (after 23:00)**  
  - Bars (Champions), hotel spends (check-ins/payments), G2A, some Talabat orders.  
  - This is where **cost per transaction jumps**.
**Conclusion:**  
You’re generally **spending the most per transaction in evenings / late nights**, especially on weekends.
---
### C. Category Concentration
Approximate categorisation:
1. **Food &amp; Beverage (dominant)**  
   - **Talabat QFC LLC &amp; Talabat**: frequent (dozens of transactions, from 25 QAR to 158.25 QAR)  
   - **Keeta / Keeta QFC LLC**: very frequent (20–113.5 QAR range)  
   - **Pain Au Cafe Shop**: repeated breakfast/coffee (27–79 QAR)  
   - Restaurants &amp; bars:
     - The Barn Restaurant: **735 QAR** (480 + 255)  
     - Champions Sports Bar: **290 QAR**  
     - Mr Taco: **160 QAR**  
     - Andaz Doha (multiple charges: 260 + 85 = **345 QAR**)  
     - St Regis Doha: **135 QAR**  
   - Supermarkets:
     - Centra (17.5 + 48 QAR)  
     - Zahra Grand Fresh (33 QAR)  
     - Zekreet Supermarket (49 QAR)
   **Observation:**  
   - You rely **heavily on delivery and cafés/restaurants**, not cheap home cooking.  
   - Food &amp; beverage is likely **your single largest controllable category**.
2. **Transport**  
   - **Uber / UBR* PENDING**: many small charges between ~5–32 QAR each.  
   - Petrol: **WOQOD / University Petrol**: 50 + 61 + 40 QAR = **151 QAR** total fuel.  
   - Overall, ride-hailing + fuel = **moderate but very frequent**.
3. **Housing / Utilities / Comms**  
   - **Ooredoo QPSC 309 QAR** – your **monthly home broadband**  
   - Ooredoo CC top up / QPSC: 40 + 65 + 5 = **110 QAR** (mobile / other lines)  
   - Total telco this month ≈ **419 QAR+**
4. **Hotels / Travel-like**  
   - Dusit Hotel &amp; Suites: **885 + 505 + 130 = 1,520 QAR**  
   - Sedra Arjaan by Rotana: **340 QAR**  
   - Andaz Doha: **345 QAR**  
   - These look like **staycations / trips / guests** rather than necessities.
5. **Shopping / Home**  
   - **IKEA Qatar: 1,791 QAR**  
   - **Bawwabat Al Shamal: 2,410 QAR**  
   - **Emerald Isle Trading: 550 + 112 + 100.8 = 762.8 QAR**  
   - **Falcon Trading Center: 193 QAR**
   This month includes **major home / shopping spends** – likely not recurring.
6. **Digital / Subscriptions / Software / Gaming**  
   - Subscriptions (see section 4).  
   - G2A.com (79 EUR + 104.25 EUR) – big gaming-related purchases.  
   - PAYPAL *GITHUB, BATTLE.NET, GAMER2GAMER, etc.
7. **Healthcare**  
   - Marble Plus Medical Center: 50 + 107.2 + 50 + 5.5 QAR = **212.7 QAR**  
   - Medicom Pharmacy: 22 QAR
8. **Family / Personal Transfers**  
   - **Afif Bou Nassif**: 4,000 + 1,500 + 1,527 = **7,027 QAR**  
   - **Samer Bou Nassif**: 250 QAR  
   These are **the single largest “category” this month** after shopping/home.
---
## 3. Anomaly Detection
### A. One-time large purchases / spikes
- **IKEA Qatar – 1,791 QAR** (Jan 31)  
  - Large one-off; likely home furniture/organization.
- **Bawwabat Al Shamal – 2,410 QAR** (Jan 1)  
  - Big retail spend; significant for a single transaction.
- **Dusit Hotel &amp; Suites – 885 + 505 + 130 = 1,520 QAR** (Jan 2 &amp; 29)  
- **Sedra Arjaan by Rotana – 340 QAR** (Jan 20)  
- **Andaz Doha – 345 QAR** (Jan 26)  
  - Collectively **&gt; 2,200 QAR** on hotels; not normal “baseline” spending.
- **The Barn Restaurant – 735 QAR** on one day (Jan 30)  
- **Champions Sports Bar – 290 QAR** (Jan 2)
- **G2A.com – 79 EUR + 104.25 EUR**  
  - Two sizable non-QAR gaming/digital purchases close together. Worth confirming they were intentional.
### B. Unusual merchant activity vs baseline
- **Afif Bou Nassif transfers – 7,027 QAR in three transactions over three days**  
  - 4,000 (Jan 28), 1,500 (Jan 28), 1,527 (Jan 30).  
  - Very lumpy; important to know: Are these:
    - Loan repayments?
    - Family support?
    - Temporary holding account?
  - Either way, they **dominate** cash outflow this month.
- **Emerald Isle Trading (3 payments in one day: 550, 112, 100.8 QAR)**  
  - Multiple same-day charges; check receipts to confirm no accidental duplication.
- **Multiple hotels in one month** (Dusit x3, Sedra, Andaz)  
  - If this isn’t your usual pattern, assume **this month is “special”, not a baseline**.
- **Stacked Uber micro-charges on Jan 30**  
  - Many small Uber charges in a single day (7.95, 31.94, 5.94, 12.99, 39.93, 24.96, 1.15, 30.93 QAR).  
  - Could be:
    - Several rides; or
    - Pre-authorizations and final charges.  
  - Worth quickly checking the Uber app to ensure no billing error.
---
## 4. Recurring Payments Audit
### A. Detected Subscriptions / Recurring-like
**Telecom / Internet**
1. **Ooredoo QPSC – 309 QAR**  
   - Your **monthly home broadband bill**.
2. **Ooredoo CC Top Up – 40 QAR**  
3. **Ooredoo QPSC 3 – 65 QAR**  
4. **Ooredoo QPSC – 5 QAR**  
   - Likely **mobile or additional line** top-ups. Not all will recur every month at the same value, but expect **~100–150 QAR/month** here.
**Software / Productivity / Cloud**
5. **Google Workspace – 33.6 USD** (Jan 1)  
6. **Medium Monthly – 5 USD**  
7. **Render.com – 7 USD + 1 USD** (likely hosting tiers/add-ons)  
8. **GitHub – 53.18 QAR via PayPal**  
9. **GAMMA.APP – 25 USD**  
10. **Claude.ai Subscription – 91.73 USD + 10 USD Anthropic top-up**  
11. **OpenAI – 15 USD**  
12. Additional Anthropic payments – 5 USD, 10 USD (usage-based)
**Gaming / Entertainment**
13. **PAYPAL *BATTLE.NET – 47.49 QAR**  
14. **PAYPAL *GAMER2GAMER – 54.9 QAR**  
15. **G2A.COM – 79 EUR + 104.25 EUR** (likely not monthly but could repeat if pattern continues)
**Food Delivery Subscriptions**
16. **Talabat Pro – 35 QAR** (Jan 3) – subscription.
**Rough monthly recurring estimate**  
- Telco (broadband + mobile): **~420–460 QAR**  
- SaaS / tools / AI / cloud / workspace (converting USD/EUR roughly): **~800–1,100 QAR/month** depending on how much of the AI spend is recurring vs usage.  
- Food subscription (Talabat Pro): **35 QAR**  
- Gaming (if repeated monthly): **~200+ QAR**
So total **“subscription-like” baseline** is likely in the **1,300–1,600 QAR/month** range, before any actual variable usage.
### B. Potential duplicates / “forgotten” subs
- **AI / productivity stack overlap:**
  - Google Workspace, Medium, GitHub, Render.com, Gamma.app, Claude.ai, OpenAI, Anthropic credit payments.  
  - It’s very possible you **don’t need all of these every month at current levels** or could move some to lower tiers.
- **Multiple AI providers (Anthropic, OpenAI, Claude.ai subscription) with usage-based plus subscription fees**  
  - If you mostly use one in practice, you can **downgrade or cancel** the others.
- **Gaming platforms: Battle.net, Gamer2Gamer, G2A**  
  - Not technically subscriptions, but if you’re making multiple purchases monthly, it behaves like a recurring hobby cost.
---
## 5. Actionable Recommendations
### Priority Key
- 🔴 **High impact / Quick win**
- 🟠 **Medium**
- 🟡 **Longer-term / nice-to-have**
---
### 1) Put a hard cap on weekly food delivery &amp; eating out 🔴
**Why:** Talabat, Keeta, Pain Au Cafe, restaurants &amp; bars are clearly your largest controllable category.
**Concrete move:**
- Set a **weekly cap**, e.g. **600 QAR/week** for:
  - Talabat  
  - Keeta  
  - Restaurants &amp; cafés (including The Barn, Pain Au Cafe, etc.)
- That’s **~2,400 QAR/month ceiling** on eating out.
**Estimated savings:**
- This month’s pattern suggests you’re **well above that** (likely 3,500–4,500 QAR).  
- Cutting 1,000 QAR/month = **12,000 QAR/year** saved without touching core utilities or income tools.
**How to implement fast:**
- Use your banking app to set:
  - **Alert at 500 QAR/week** on MCC/merchant name “Talabat”, “Keeta”, “Pain Au Cafe” etc.  
- Decide in advance: **max 2–3 delivery orders per week**; rest = cook or supermarket.
---
### 2) Rationalize your AI / SaaS / developer tool stack 🔴
**Why:** Google Workspace, Medium, GitHub, Render, Gamma, Claude.ai subscription, OpenAI, Anthropic usage – there’s likely **overlap**.
**Action steps:**
1. **List monthly tools** and ask:
   - Do I use this **weekly**?
   - Is there a **cheaper tier**?
2. Likely quick trims:
   - If you mostly use one AI provider daily (say Claude), **downgrade OpenAI usage, Anthropic extra top-ups**, or vice-versa.
   - Consider if **Gamma.app** is essential monthly or can be paused/cancelled.
   - Review Render: can you move to a smaller instance or shut down unused services?
**Estimated savings:**
- Trimming even **30–40%** of that stack can free **300–500 QAR/month**.
---
### 3) Put G2A + gaming spend on a fixed monthly “fun” budget 🟠
**Why:** Two large G2A transactions (79 EUR + 104.25 EUR) plus Battle.net and Gamer2gamer – these behave like a **stealth subscription**.
**Concrete move:**
- Create a **“Gaming / Digital fun” envelope**: e.g. **250–300 QAR/month**.
- When that’s hit, **no more gaming purchases that month**.
**Estimated savings:**
- This month you’ve spent the equivalent of **700–900+ QAR** on gaming-related items.  
- A 300 QAR cap saves **~400–600 QAR/month** versus this month’s behaviour.
---
### 4) Clarify and systematize family transfers to Afif/Samer 🔴
**Why:** 7,027 QAR to Afif + 250 QAR to Samer **in one month** is large and lumpy.
**Actions:**
- Decide if this is:
  - A **one-off repayment** – then note it and don’t treat it as monthly.
  - Ongoing **support** – then turn it into a **fixed monthly allowance** (e.g. 1,500–2,000 QAR) so it’s built into your budget, not ad-hoc.
**Estimated savings:**
- If this was one-off, **no ongoing issue**.  
- If recurring, smoothing to a lower fixed amount could save **2,000–3,000 QAR** in any heavy month like this.
---
### 5) Make big home / retail spending (IKEA, Bawwabat, Emerald Isle) planned, not opportunistic 🟠
These are large one-offs, but they add up:
- IKEA: 1,791 QAR  
- Bawwabat: 2,410 QAR  
- Emerald Isle Trading: 762.8 QAR  
- Falcon Trading: 193 QAR  
**Action:**
- Decide an annual **home &amp; shopping budget** (ex: **6,000 QAR/year**).  
- That’s **500 QAR/month** on average. Any big purchase:
  - Check: does it blow through this year’s allocation?
  - If yes, delay or split across months.
**Estimated savings:**
- If you were to repeat this pattern, you’d be on pace for **&gt;20,000 QAR/year** in home/shopping.  
- Capping it at 6–8k/year saves **12,000+ QAR/year**.
---
### 6) Tame weekend restaurant/bar spikes 🔴
**Why:** The Barn (735 QAR one day), Champions Sports Bar (290 QAR), Mr Taco, Andaz/Andaz dining – weekend hospitality is expensive.
**Action:**
- Set **per-outing limits**:
  - e.g. cap **any single restaurant bill** you personally pay at **300–350 QAR** unless it’s a truly special event.
- If inviting friends, consider **splitting bills** more consistently instead of covering everything.
**Estimated savings:**
- With your current pattern, tightening weekend restaurants could easily save **500–800 QAR/month**.
---
### 7) Check Uber spending &amp; consider alternatives 🟡
**Why:** Many small Uber transactions, especially Jan 30. That day alone has **8–9 separate charges**.
**Actions:**
- Review Uber history for:
  - Duplicated trips  
  - Cancelled rides still charged  
- Consider:
  - For short, regular routes, **public transport / occasional petrol** might be cheaper.
  - Set an informal rule: if ride &gt; X QAR and not urgent, seek alternative.
**Estimated savings:**
- Even a modest **25% reduction** in Uber use could save **100–200 QAR/month**, and you avoid surprise clusters like Jan 30.
---
### 8) Automate a minimum monthly savings transfer 🟡
**Why:** This month, heavy discretionary/one-off spend consumed the whole salary.
**Action:**
- On salary day (e.g., day after **18,000 QAR salary** hits), auto-transfer:
  - **10% (1,800 QAR)** to savings/investment.  
- Treat it as non-negotiable; discretionary spend adjusts around that.
**Impact:**
- Even **1,800 QAR/month** builds to **21,600 QAR/year**, creating a buffer for months like this.
---
## 6. Forward Look – Next Month
### A. Predicted Baseline Expenses (if behaviour unchanged)
Excluding this month’s unusual one-offs:
1. **Fixed / Semi-Fixed**
   - Home broadband: **309 QAR**
   - Mobile &amp; top-ups: **~100–150 QAR**
   - Subscriptions / SaaS / AI tools: **800–1,100 QAR**
   - Talabat Pro: **35 QAR**
   - Healthcare (average): **~200 QAR** (if recurring at similar pace)
   - Fuel (WOQOD + University Petrol): **~150 QAR**
   → **Baseline fixed-ish = ~1,600–1,900 QAR**
2. **Variable, but baseline from patterns**
   - Food &amp; cafés (Talabat, Keeta, Pain Au Cafe, restaurants but excluding huge weekends):  
     Likely **2,500–3,000 QAR** if you don’t change behaviour.
   - Uber &amp; small transport: **300–500 QAR**
   - Modest shopping / miscellaneous: **500–1,000 QAR** (assuming no IKEA/Bawwabat-scale purchases)
   → **Variable baseline = ~3,300–4,500 QAR**
**Total “normal” month prediction (without large one-offs):**  
**~5,000–6,400 QAR** vs your **18,000 QAR salary**, leaving **significant room for saving** if you avoid repeating the large hotels, family transfers at this scale, and mega-shopping.
### B. Potential Budget Pressure Points Next Month
1. **Any repeated large family transfer to Afif**  
   - If this continues &gt;3,000 QAR/month, it becomes your **single largest recurring outflow**.
2. **Another big home purchase (IKEA-level)**  
   - Doing that again next month would significantly cut into potential savings.
3. **Uncontrolled weekend outings**  
   - A single weekend like Jan 30 (Barn 735 QAR + Uber cluster + St Regis 135 QAR + G2A) can burn **1,200–2,000 QAR** fast.
4. **AI / SaaS spillover**  
   - If you ramp usage-based AI spend without monitoring, monthly digital/tool costs can exceed 1,200 QAR.
---
### Final Focus for the Coming Month
If you want a simple, actionable focus:
1. **Cap food &amp; eating out at 600 QAR/week.**  
2. **Trim at least 300–500 QAR from your AI/SaaS stack by downgrading/cancelling underused tools.**  
3. **No unplanned purchases over 1,000 QAR (furniture, clothing, gaming) without waiting 48 hours.**  
4. **Auto-save 10% (1,800 QAR) on salary day.**
Follow just these four and you can realistically move from **0% savings this month** to **20–30% of salary saved** next month, given your baseline costs.</t>
  </si>
  <si>
    <t>Pattern</t>
  </si>
  <si>
    <t>Display Name</t>
  </si>
  <si>
    <t>Consolidated Name</t>
  </si>
  <si>
    <t>Category</t>
  </si>
  <si>
    <t>al meera</t>
  </si>
  <si>
    <t>Al Meera</t>
  </si>
  <si>
    <t>Groceries</t>
  </si>
  <si>
    <t>carrefour</t>
  </si>
  <si>
    <t>Carrefour</t>
  </si>
  <si>
    <t>centra supermarket</t>
  </si>
  <si>
    <t>Centra Supermarket</t>
  </si>
  <si>
    <t>Centra</t>
  </si>
  <si>
    <t>centra supermarkets an</t>
  </si>
  <si>
    <t>Centra Supermarkets</t>
  </si>
  <si>
    <t>falaq food</t>
  </si>
  <si>
    <t>Falaq Food Centre</t>
  </si>
  <si>
    <t>Falaq Food</t>
  </si>
  <si>
    <t>falcon trading</t>
  </si>
  <si>
    <t>Falcon Trading Center</t>
  </si>
  <si>
    <t>Falcon Trading</t>
  </si>
  <si>
    <t>falcon trading center</t>
  </si>
  <si>
    <t>family food</t>
  </si>
  <si>
    <t>Family Food Centre</t>
  </si>
  <si>
    <t>Family Food</t>
  </si>
  <si>
    <t>lulu</t>
  </si>
  <si>
    <t>Lulu Hypermarket</t>
  </si>
  <si>
    <t>Lulu</t>
  </si>
  <si>
    <t>mega mart</t>
  </si>
  <si>
    <t>Mega Mart</t>
  </si>
  <si>
    <t>monoprix</t>
  </si>
  <si>
    <t>Monoprix</t>
  </si>
  <si>
    <t>spar</t>
  </si>
  <si>
    <t>Spar</t>
  </si>
  <si>
    <t>zahra grand</t>
  </si>
  <si>
    <t>Zahra Grand Fresh</t>
  </si>
  <si>
    <t>Zahra Grand</t>
  </si>
  <si>
    <t>zekreek supermarket</t>
  </si>
  <si>
    <t>Zekreet Supermarket</t>
  </si>
  <si>
    <t>Zekreet</t>
  </si>
  <si>
    <t>abc dbayeh</t>
  </si>
  <si>
    <t>ABC Dbayeh</t>
  </si>
  <si>
    <t>ABC</t>
  </si>
  <si>
    <t>evergreenorganics</t>
  </si>
  <si>
    <t>Evergreen Organics</t>
  </si>
  <si>
    <t>spinneys</t>
  </si>
  <si>
    <t>Spinneys</t>
  </si>
  <si>
    <t>the approved market</t>
  </si>
  <si>
    <t>The Approved Market</t>
  </si>
  <si>
    <t>talabat</t>
  </si>
  <si>
    <t>Delivery</t>
  </si>
  <si>
    <t>Talabat Pro</t>
  </si>
  <si>
    <t>talabat qfc llc</t>
  </si>
  <si>
    <t>keeta</t>
  </si>
  <si>
    <t>keeta qfc llc</t>
  </si>
  <si>
    <t>snoonu</t>
  </si>
  <si>
    <t>Snoonu</t>
  </si>
  <si>
    <t>toters</t>
  </si>
  <si>
    <t>Toters</t>
  </si>
  <si>
    <t>costa</t>
  </si>
  <si>
    <t>Costa Coffee</t>
  </si>
  <si>
    <t>Costa</t>
  </si>
  <si>
    <t>Dining</t>
  </si>
  <si>
    <t>kfc</t>
  </si>
  <si>
    <t>KFC</t>
  </si>
  <si>
    <t>lwzaar</t>
  </si>
  <si>
    <t>Lwzaar</t>
  </si>
  <si>
    <t>mango hospitality</t>
  </si>
  <si>
    <t>Mango Hospitality</t>
  </si>
  <si>
    <t>Mango</t>
  </si>
  <si>
    <t>mcdonald</t>
  </si>
  <si>
    <t>McDonald's</t>
  </si>
  <si>
    <t>mr mrs hawk</t>
  </si>
  <si>
    <t>Mr &amp; Mrs Hawk</t>
  </si>
  <si>
    <t>mumble jung</t>
  </si>
  <si>
    <t>Mumble Jungle</t>
  </si>
  <si>
    <t>olivia restaurant</t>
  </si>
  <si>
    <t>Olivia Restaurant</t>
  </si>
  <si>
    <t>Olivia</t>
  </si>
  <si>
    <t>pain au cafe</t>
  </si>
  <si>
    <t>Pain au Café</t>
  </si>
  <si>
    <t>raising canes</t>
  </si>
  <si>
    <t>Raising Cane's</t>
  </si>
  <si>
    <t>starbucks</t>
  </si>
  <si>
    <t>Starbucks</t>
  </si>
  <si>
    <t>sushi ponto</t>
  </si>
  <si>
    <t>Sushi Ponto</t>
  </si>
  <si>
    <t>tim hortons</t>
  </si>
  <si>
    <t>Tim Hortons</t>
  </si>
  <si>
    <t>bar tartine</t>
  </si>
  <si>
    <t>Bar Tartine</t>
  </si>
  <si>
    <t>bistrowisors</t>
  </si>
  <si>
    <t>Bistro Wissors</t>
  </si>
  <si>
    <t>burger king</t>
  </si>
  <si>
    <t>Burger King</t>
  </si>
  <si>
    <t>fat burger</t>
  </si>
  <si>
    <t>Fat Burger</t>
  </si>
  <si>
    <t>kababji</t>
  </si>
  <si>
    <t>Kababji</t>
  </si>
  <si>
    <t>mondays off</t>
  </si>
  <si>
    <t>Mondays Off</t>
  </si>
  <si>
    <t>mr taco</t>
  </si>
  <si>
    <t>Mr Taco</t>
  </si>
  <si>
    <t>the market hall</t>
  </si>
  <si>
    <t>The Market Hall</t>
  </si>
  <si>
    <t>torino express</t>
  </si>
  <si>
    <t>Torino Express</t>
  </si>
  <si>
    <t>andaz</t>
  </si>
  <si>
    <t>Andaz Doha</t>
  </si>
  <si>
    <t>Andaz</t>
  </si>
  <si>
    <t>Bars &amp; Hotels</t>
  </si>
  <si>
    <t>champions sports bar</t>
  </si>
  <si>
    <t>Champions Sports Bar</t>
  </si>
  <si>
    <t>Champions</t>
  </si>
  <si>
    <t>dusit hotel</t>
  </si>
  <si>
    <t>Dusit Hotel</t>
  </si>
  <si>
    <t>Dusit</t>
  </si>
  <si>
    <t>emerald isle</t>
  </si>
  <si>
    <t>Emerald Isle</t>
  </si>
  <si>
    <t>magnum hotel</t>
  </si>
  <si>
    <t>Magnum Hotel</t>
  </si>
  <si>
    <t>Magnum</t>
  </si>
  <si>
    <t>sedra arjaan</t>
  </si>
  <si>
    <t>Sedra Arjaan</t>
  </si>
  <si>
    <t>aura yacht club</t>
  </si>
  <si>
    <t>Aura Yacht Club</t>
  </si>
  <si>
    <t>Aura</t>
  </si>
  <si>
    <t>four seasons doha</t>
  </si>
  <si>
    <t>Four Seasons Doha</t>
  </si>
  <si>
    <t>Four Seasons</t>
  </si>
  <si>
    <t>pullman</t>
  </si>
  <si>
    <t>Pullman Hotels</t>
  </si>
  <si>
    <t>Pullman</t>
  </si>
  <si>
    <t>amazon</t>
  </si>
  <si>
    <t>Amazon</t>
  </si>
  <si>
    <t>Shopping</t>
  </si>
  <si>
    <t>h&amp;m</t>
  </si>
  <si>
    <t>H&amp;M</t>
  </si>
  <si>
    <t>ikea</t>
  </si>
  <si>
    <t>jarir</t>
  </si>
  <si>
    <t>Jarir Bookstore</t>
  </si>
  <si>
    <t>Jarir</t>
  </si>
  <si>
    <t>marks &amp; spencer</t>
  </si>
  <si>
    <t>Marks &amp; Spencer</t>
  </si>
  <si>
    <t>M&amp;S</t>
  </si>
  <si>
    <t>noon</t>
  </si>
  <si>
    <t>Noon</t>
  </si>
  <si>
    <t>vendome</t>
  </si>
  <si>
    <t>Vendome Place</t>
  </si>
  <si>
    <t>Vendome</t>
  </si>
  <si>
    <t>virgin</t>
  </si>
  <si>
    <t>Virgin Megastore</t>
  </si>
  <si>
    <t>Virgin</t>
  </si>
  <si>
    <t>zara</t>
  </si>
  <si>
    <t>Zara</t>
  </si>
  <si>
    <t>abercrombie</t>
  </si>
  <si>
    <t>Abercrombie &amp; Fitch</t>
  </si>
  <si>
    <t>Abercrombie</t>
  </si>
  <si>
    <t>alif store</t>
  </si>
  <si>
    <t>Alif Store</t>
  </si>
  <si>
    <t>boots</t>
  </si>
  <si>
    <t>Boots</t>
  </si>
  <si>
    <t>lego</t>
  </si>
  <si>
    <t>Lego</t>
  </si>
  <si>
    <t>muji</t>
  </si>
  <si>
    <t>Muji</t>
  </si>
  <si>
    <t>pottery barn</t>
  </si>
  <si>
    <t>Pottery Barn</t>
  </si>
  <si>
    <t>urban outfitters</t>
  </si>
  <si>
    <t>Urban Outfitters</t>
  </si>
  <si>
    <t>battle.net</t>
  </si>
  <si>
    <t>Battle.net</t>
  </si>
  <si>
    <t>Hobbies</t>
  </si>
  <si>
    <t>blizzard</t>
  </si>
  <si>
    <t>Blizzard</t>
  </si>
  <si>
    <t>dstlry</t>
  </si>
  <si>
    <t>DSTLRY</t>
  </si>
  <si>
    <t>g2a</t>
  </si>
  <si>
    <t>G2A</t>
  </si>
  <si>
    <t>gamer2gamer</t>
  </si>
  <si>
    <t>Gamer2Gamer</t>
  </si>
  <si>
    <t>paypal *battle</t>
  </si>
  <si>
    <t>paypal *gamer</t>
  </si>
  <si>
    <t>novo</t>
  </si>
  <si>
    <t>Novo Cinema</t>
  </si>
  <si>
    <t>Novo</t>
  </si>
  <si>
    <t>vox</t>
  </si>
  <si>
    <t>VOX Cinema</t>
  </si>
  <si>
    <t>VOX</t>
  </si>
  <si>
    <t>adobe</t>
  </si>
  <si>
    <t>Adobe</t>
  </si>
  <si>
    <t>Bills</t>
  </si>
  <si>
    <t>amazon prime pmts</t>
  </si>
  <si>
    <t>Amazon Prime</t>
  </si>
  <si>
    <t>anthropic</t>
  </si>
  <si>
    <t>Anthropic</t>
  </si>
  <si>
    <t>Claude</t>
  </si>
  <si>
    <t>apple.com</t>
  </si>
  <si>
    <t>Apple</t>
  </si>
  <si>
    <t>apple services</t>
  </si>
  <si>
    <t>Apple Services</t>
  </si>
  <si>
    <t>chatgpt</t>
  </si>
  <si>
    <t>ChatGPT</t>
  </si>
  <si>
    <t>OpenAI</t>
  </si>
  <si>
    <t>claude.ai</t>
  </si>
  <si>
    <t>disney</t>
  </si>
  <si>
    <t>Disney+</t>
  </si>
  <si>
    <t>gamma.app</t>
  </si>
  <si>
    <t>Gamma</t>
  </si>
  <si>
    <t>github</t>
  </si>
  <si>
    <t>GitHub</t>
  </si>
  <si>
    <t>paypal *github</t>
  </si>
  <si>
    <t>google workspace</t>
  </si>
  <si>
    <t>Google Workspace</t>
  </si>
  <si>
    <t>google gsuite</t>
  </si>
  <si>
    <t>medium monthly</t>
  </si>
  <si>
    <t>Medium</t>
  </si>
  <si>
    <t>microsoft</t>
  </si>
  <si>
    <t>Microsoft</t>
  </si>
  <si>
    <t>netflix</t>
  </si>
  <si>
    <t>Netflix</t>
  </si>
  <si>
    <t>openai</t>
  </si>
  <si>
    <t>render.com</t>
  </si>
  <si>
    <t>Render</t>
  </si>
  <si>
    <t>spotify</t>
  </si>
  <si>
    <t>Spotify</t>
  </si>
  <si>
    <t>youtube</t>
  </si>
  <si>
    <t>YouTube Premium</t>
  </si>
  <si>
    <t>YouTube</t>
  </si>
  <si>
    <t>kahramaa</t>
  </si>
  <si>
    <t>Kahramaa</t>
  </si>
  <si>
    <t>ooredoo</t>
  </si>
  <si>
    <t>Ooredoo</t>
  </si>
  <si>
    <t>vodafone</t>
  </si>
  <si>
    <t>Vodafone</t>
  </si>
  <si>
    <t>alfa - prepaid</t>
  </si>
  <si>
    <t>Alfa Prepaid</t>
  </si>
  <si>
    <t>Alfa</t>
  </si>
  <si>
    <t>missus wash</t>
  </si>
  <si>
    <t>Missus Wash</t>
  </si>
  <si>
    <t>urban wash</t>
  </si>
  <si>
    <t>Urban Wash</t>
  </si>
  <si>
    <t>doha p.o.box</t>
  </si>
  <si>
    <t>Qatar Post</t>
  </si>
  <si>
    <t>doha p .o.box</t>
  </si>
  <si>
    <t>uber</t>
  </si>
  <si>
    <t>Uber</t>
  </si>
  <si>
    <t>Transport</t>
  </si>
  <si>
    <t>karwa</t>
  </si>
  <si>
    <t>Karwa</t>
  </si>
  <si>
    <t>rafeeq</t>
  </si>
  <si>
    <t>Rafeeq</t>
  </si>
  <si>
    <t>woqod</t>
  </si>
  <si>
    <t>Woqod</t>
  </si>
  <si>
    <t>university petrol</t>
  </si>
  <si>
    <t>University Petrol</t>
  </si>
  <si>
    <t>Petrol</t>
  </si>
  <si>
    <t>qatar rail</t>
  </si>
  <si>
    <t>Qatar Rail</t>
  </si>
  <si>
    <t>Metro</t>
  </si>
  <si>
    <t>city center mall parki</t>
  </si>
  <si>
    <t>City Center Parking</t>
  </si>
  <si>
    <t>Parking</t>
  </si>
  <si>
    <t>qdf</t>
  </si>
  <si>
    <t>Qatar Duty Free</t>
  </si>
  <si>
    <t>Travel</t>
  </si>
  <si>
    <t>hia airport</t>
  </si>
  <si>
    <t>HIA Airport</t>
  </si>
  <si>
    <t>HIA</t>
  </si>
  <si>
    <t>qatar airways</t>
  </si>
  <si>
    <t>Qatar Airways</t>
  </si>
  <si>
    <t>beirut duty</t>
  </si>
  <si>
    <t>Beirut Duty Free</t>
  </si>
  <si>
    <t>hamad inter.airport</t>
  </si>
  <si>
    <t>Hamad Airport</t>
  </si>
  <si>
    <t>marble plus</t>
  </si>
  <si>
    <t>Marble Plus Medical</t>
  </si>
  <si>
    <t>Marble Plus</t>
  </si>
  <si>
    <t>Health</t>
  </si>
  <si>
    <t>medicom pharmacy</t>
  </si>
  <si>
    <t>Medicom Pharmacy</t>
  </si>
  <si>
    <t>Medicom</t>
  </si>
  <si>
    <t>pharmacie musee</t>
  </si>
  <si>
    <t>Pharmacie Musee</t>
  </si>
  <si>
    <t>primary health care</t>
  </si>
  <si>
    <t>Primary Health Care</t>
  </si>
  <si>
    <t>PHC</t>
  </si>
  <si>
    <t>afif bou nassif</t>
  </si>
  <si>
    <t>Family</t>
  </si>
  <si>
    <t>nicole daou</t>
  </si>
  <si>
    <t>Nicole Daou</t>
  </si>
  <si>
    <t>samer bou nassif</t>
  </si>
  <si>
    <t>lesley</t>
  </si>
  <si>
    <t>Lesley</t>
  </si>
  <si>
    <t>aleksandra backic</t>
  </si>
  <si>
    <t>Aleks</t>
  </si>
  <si>
    <t>rawan kelly</t>
  </si>
  <si>
    <t>Rawan</t>
  </si>
  <si>
    <t>Transfers</t>
  </si>
  <si>
    <t>Fawran</t>
  </si>
  <si>
    <t>31645649</t>
  </si>
  <si>
    <t>50371822</t>
  </si>
  <si>
    <t>qa06xxxxxxxxxxxxxxxxxxx650013</t>
  </si>
  <si>
    <t>QA06...650013</t>
  </si>
  <si>
    <t>Bank Transfer</t>
  </si>
  <si>
    <t>qa07xxxxxxxxxxxxxxxxxxx899043</t>
  </si>
  <si>
    <t>QA07...899043</t>
  </si>
  <si>
    <t>qa28xxxxxxxxxxxxxxxxxxx016001</t>
  </si>
  <si>
    <t>QA28...016001</t>
  </si>
  <si>
    <t>qa55xxxxxxxxxxxxxxxxxxx023001</t>
  </si>
  <si>
    <t>QA55...023001</t>
  </si>
  <si>
    <t>qa89xxxxxxxxxxxxxxxxxxx137101</t>
  </si>
  <si>
    <t>QA89...137101</t>
  </si>
  <si>
    <t>alfardanexchange</t>
  </si>
  <si>
    <t>Al Fardan Exchange</t>
  </si>
  <si>
    <t>FX</t>
  </si>
  <si>
    <t>Other</t>
  </si>
  <si>
    <t>bawwabat al shamal</t>
  </si>
  <si>
    <t>Bawwabat Al Shamal</t>
  </si>
  <si>
    <t>Bawwabat</t>
  </si>
  <si>
    <t>fact special projects</t>
  </si>
  <si>
    <t>FACT Special Projects</t>
  </si>
  <si>
    <t>FACT</t>
  </si>
  <si>
    <t>vogue mens salon</t>
  </si>
  <si>
    <t>Vogue Mens Salon</t>
  </si>
  <si>
    <t>Vogue Salon</t>
  </si>
  <si>
    <t>skpcash</t>
  </si>
  <si>
    <t>SKP Cash PayLater</t>
  </si>
  <si>
    <t>SKP</t>
  </si>
  <si>
    <t>57 d</t>
  </si>
  <si>
    <t>RateToQAR</t>
  </si>
  <si>
    <t>Formula</t>
  </si>
  <si>
    <t>1</t>
  </si>
  <si>
    <t>GBP</t>
  </si>
  <si>
    <t>AED</t>
  </si>
  <si>
    <t>SAR</t>
  </si>
  <si>
    <t>Type</t>
  </si>
  <si>
    <t>Key</t>
  </si>
  <si>
    <t>Value</t>
  </si>
  <si>
    <t>Details</t>
  </si>
  <si>
    <t>DateAdded</t>
  </si>
  <si>
    <t>Source</t>
  </si>
  <si>
    <t>correction</t>
  </si>
  <si>
    <t>QAR 309 is splurge.</t>
  </si>
  <si>
    <t>QAR 309 is my monthly home broadband bill</t>
  </si>
  <si>
    <t>2026-01-30T22:07:09.205Z</t>
  </si>
  <si>
    <t>user</t>
  </si>
  <si>
    <t>QAR 309</t>
  </si>
  <si>
    <t>QAR 309 is not a splurge, it's my home internet bill.</t>
  </si>
  <si>
    <t>2026-01-30T22:37:56.576Z</t>
  </si>
  <si>
    <t>to Afif</t>
  </si>
  <si>
    <t>to Afif is rent.</t>
  </si>
  <si>
    <t>2026-01-30T22:40:29.962Z</t>
  </si>
  <si>
    <t>to Afif is actually payment for QDC, which is the liquor store.</t>
  </si>
  <si>
    <t>2026-01-30T22:41:13.105Z</t>
  </si>
  <si>
    <t>Phone</t>
  </si>
  <si>
    <t>BankAccount</t>
  </si>
  <si>
    <t>ShortName</t>
  </si>
  <si>
    <t>LongName</t>
  </si>
  <si>
    <t>Samer</t>
  </si>
  <si>
    <t>Parents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</si>
</sst>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&quot;T&quot;HH:MM:SS"/>
    <numFmt numFmtId="165" formatCode="yyyy-mm-dd hh:mm:ss"/>
  </numFmts>
  <fonts count="6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u/>
      <color rgb="FF0000FF"/>
    </font>
    <font>
      <i/>
      <color rgb="FF666666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B46C1"/>
        <bgColor rgb="FF6B46C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Font="1"/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1" fillId="2" fontId="1" numFmtId="0" xfId="0" applyAlignment="1" applyBorder="1" applyFont="1">
      <alignment horizontal="center" readingOrder="0"/>
    </xf>
    <xf borderId="0" fillId="0" fontId="3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2a.com" TargetMode="External"/><Relationship Id="rId2" Type="http://schemas.openxmlformats.org/officeDocument/2006/relationships/hyperlink" Target="http://g2a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2.0"/>
    <col customWidth="1" min="3" max="3" width="10.0"/>
    <col customWidth="1" min="4" max="4" width="30.0"/>
    <col customWidth="1" min="5" max="5" width="12.0"/>
    <col customWidth="1" min="6" max="6" width="8.0"/>
    <col customWidth="1" min="7" max="7" width="12.0"/>
    <col customWidth="1" min="8" max="8" width="60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>
      <c r="A2" s="4" t="s">
        <v>9</v>
      </c>
      <c r="B2" s="5">
        <v>260.0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7" t="s">
        <v>15</v>
      </c>
      <c r="I2" s="8">
        <f t="shared" ref="I2:I300" si="1">IF(F2="IN", B2, -B2)</f>
        <v>-260</v>
      </c>
    </row>
    <row r="3">
      <c r="A3" s="4" t="s">
        <v>16</v>
      </c>
      <c r="B3" s="5">
        <v>9.93</v>
      </c>
      <c r="C3" s="6" t="s">
        <v>10</v>
      </c>
      <c r="D3" s="6" t="s">
        <v>17</v>
      </c>
      <c r="E3" s="6" t="s">
        <v>12</v>
      </c>
      <c r="F3" s="6" t="s">
        <v>13</v>
      </c>
      <c r="G3" s="6" t="s">
        <v>14</v>
      </c>
      <c r="H3" s="7" t="s">
        <v>18</v>
      </c>
      <c r="I3" s="8">
        <f t="shared" si="1"/>
        <v>-9.93</v>
      </c>
    </row>
    <row r="4">
      <c r="A4" s="4" t="s">
        <v>16</v>
      </c>
      <c r="B4" s="5">
        <v>85.0</v>
      </c>
      <c r="C4" s="6" t="s">
        <v>10</v>
      </c>
      <c r="D4" s="6" t="s">
        <v>19</v>
      </c>
      <c r="E4" s="6" t="s">
        <v>20</v>
      </c>
      <c r="F4" s="6" t="s">
        <v>13</v>
      </c>
      <c r="G4" s="6" t="s">
        <v>14</v>
      </c>
      <c r="H4" s="7" t="s">
        <v>21</v>
      </c>
      <c r="I4" s="8">
        <f t="shared" si="1"/>
        <v>-85</v>
      </c>
    </row>
    <row r="5">
      <c r="A5" s="4" t="s">
        <v>22</v>
      </c>
      <c r="B5" s="5">
        <v>49.0</v>
      </c>
      <c r="C5" s="6" t="s">
        <v>10</v>
      </c>
      <c r="D5" s="6" t="s">
        <v>23</v>
      </c>
      <c r="E5" s="6" t="s">
        <v>20</v>
      </c>
      <c r="F5" s="6" t="s">
        <v>13</v>
      </c>
      <c r="G5" s="6" t="s">
        <v>14</v>
      </c>
      <c r="H5" s="7" t="s">
        <v>24</v>
      </c>
      <c r="I5" s="8">
        <f t="shared" si="1"/>
        <v>-49</v>
      </c>
    </row>
    <row r="6">
      <c r="A6" s="4" t="s">
        <v>25</v>
      </c>
      <c r="B6" s="5">
        <v>48.0</v>
      </c>
      <c r="C6" s="6" t="s">
        <v>10</v>
      </c>
      <c r="D6" s="6" t="s">
        <v>26</v>
      </c>
      <c r="E6" s="6" t="s">
        <v>20</v>
      </c>
      <c r="F6" s="6" t="s">
        <v>13</v>
      </c>
      <c r="G6" s="6" t="s">
        <v>14</v>
      </c>
      <c r="H6" s="7" t="s">
        <v>27</v>
      </c>
      <c r="I6" s="8">
        <f t="shared" si="1"/>
        <v>-48</v>
      </c>
    </row>
    <row r="7">
      <c r="A7" s="4" t="s">
        <v>28</v>
      </c>
      <c r="B7" s="5">
        <v>44.8</v>
      </c>
      <c r="C7" s="6" t="s">
        <v>10</v>
      </c>
      <c r="D7" s="6" t="s">
        <v>29</v>
      </c>
      <c r="E7" s="6" t="s">
        <v>20</v>
      </c>
      <c r="F7" s="6" t="s">
        <v>13</v>
      </c>
      <c r="G7" s="6" t="s">
        <v>14</v>
      </c>
      <c r="H7" s="7" t="s">
        <v>30</v>
      </c>
      <c r="I7" s="8">
        <f t="shared" si="1"/>
        <v>-44.8</v>
      </c>
    </row>
    <row r="8">
      <c r="A8" s="4" t="s">
        <v>31</v>
      </c>
      <c r="B8" s="5">
        <v>50.0</v>
      </c>
      <c r="C8" s="6" t="s">
        <v>10</v>
      </c>
      <c r="D8" s="6" t="s">
        <v>32</v>
      </c>
      <c r="E8" s="6" t="s">
        <v>20</v>
      </c>
      <c r="F8" s="6" t="s">
        <v>13</v>
      </c>
      <c r="G8" s="6" t="s">
        <v>14</v>
      </c>
      <c r="H8" s="7" t="s">
        <v>33</v>
      </c>
      <c r="I8" s="8">
        <f t="shared" si="1"/>
        <v>-50</v>
      </c>
    </row>
    <row r="9">
      <c r="A9" s="4" t="s">
        <v>34</v>
      </c>
      <c r="B9" s="5">
        <v>25.0</v>
      </c>
      <c r="C9" s="6" t="s">
        <v>10</v>
      </c>
      <c r="D9" s="6" t="s">
        <v>29</v>
      </c>
      <c r="E9" s="6" t="s">
        <v>20</v>
      </c>
      <c r="F9" s="6" t="s">
        <v>13</v>
      </c>
      <c r="G9" s="6" t="s">
        <v>14</v>
      </c>
      <c r="H9" s="7" t="s">
        <v>35</v>
      </c>
      <c r="I9" s="8">
        <f t="shared" si="1"/>
        <v>-25</v>
      </c>
    </row>
    <row r="10">
      <c r="A10" s="4" t="s">
        <v>36</v>
      </c>
      <c r="B10" s="5">
        <v>500.0</v>
      </c>
      <c r="C10" s="6" t="s">
        <v>10</v>
      </c>
      <c r="D10" s="6" t="s">
        <v>37</v>
      </c>
      <c r="E10" s="6" t="s">
        <v>38</v>
      </c>
      <c r="F10" s="6" t="s">
        <v>39</v>
      </c>
      <c r="G10" s="6" t="s">
        <v>40</v>
      </c>
      <c r="H10" s="7" t="s">
        <v>41</v>
      </c>
      <c r="I10" s="8">
        <f t="shared" si="1"/>
        <v>500</v>
      </c>
    </row>
    <row r="11">
      <c r="A11" s="4" t="s">
        <v>42</v>
      </c>
      <c r="B11" s="5">
        <v>53.18</v>
      </c>
      <c r="C11" s="6" t="s">
        <v>10</v>
      </c>
      <c r="D11" s="6" t="s">
        <v>43</v>
      </c>
      <c r="E11" s="6" t="s">
        <v>20</v>
      </c>
      <c r="F11" s="6" t="s">
        <v>13</v>
      </c>
      <c r="G11" s="6" t="s">
        <v>14</v>
      </c>
      <c r="H11" s="7" t="s">
        <v>44</v>
      </c>
      <c r="I11" s="8">
        <f t="shared" si="1"/>
        <v>-53.18</v>
      </c>
    </row>
    <row r="12">
      <c r="A12" s="4" t="s">
        <v>45</v>
      </c>
      <c r="B12" s="5">
        <v>61.0</v>
      </c>
      <c r="C12" s="6" t="s">
        <v>10</v>
      </c>
      <c r="D12" s="6" t="s">
        <v>46</v>
      </c>
      <c r="E12" s="6" t="s">
        <v>20</v>
      </c>
      <c r="F12" s="6" t="s">
        <v>13</v>
      </c>
      <c r="G12" s="6" t="s">
        <v>14</v>
      </c>
      <c r="H12" s="7" t="s">
        <v>47</v>
      </c>
      <c r="I12" s="8">
        <f t="shared" si="1"/>
        <v>-61</v>
      </c>
    </row>
    <row r="13">
      <c r="A13" s="4" t="s">
        <v>48</v>
      </c>
      <c r="B13" s="5">
        <v>49.0</v>
      </c>
      <c r="C13" s="6" t="s">
        <v>10</v>
      </c>
      <c r="D13" s="6" t="s">
        <v>49</v>
      </c>
      <c r="E13" s="6" t="s">
        <v>20</v>
      </c>
      <c r="F13" s="6" t="s">
        <v>13</v>
      </c>
      <c r="G13" s="6" t="s">
        <v>14</v>
      </c>
      <c r="H13" s="7" t="s">
        <v>50</v>
      </c>
      <c r="I13" s="8">
        <f t="shared" si="1"/>
        <v>-49</v>
      </c>
    </row>
    <row r="14">
      <c r="A14" s="4" t="s">
        <v>51</v>
      </c>
      <c r="B14" s="5">
        <v>25.96</v>
      </c>
      <c r="C14" s="6" t="s">
        <v>10</v>
      </c>
      <c r="D14" s="6" t="s">
        <v>17</v>
      </c>
      <c r="E14" s="6" t="s">
        <v>12</v>
      </c>
      <c r="F14" s="6" t="s">
        <v>13</v>
      </c>
      <c r="G14" s="6" t="s">
        <v>14</v>
      </c>
      <c r="H14" s="7" t="s">
        <v>52</v>
      </c>
      <c r="I14" s="8">
        <f t="shared" si="1"/>
        <v>-25.96</v>
      </c>
    </row>
    <row r="15">
      <c r="A15" s="4" t="s">
        <v>51</v>
      </c>
      <c r="B15" s="5">
        <v>33.0</v>
      </c>
      <c r="C15" s="6" t="s">
        <v>10</v>
      </c>
      <c r="D15" s="6" t="s">
        <v>53</v>
      </c>
      <c r="E15" s="6" t="s">
        <v>20</v>
      </c>
      <c r="F15" s="6" t="s">
        <v>13</v>
      </c>
      <c r="G15" s="6" t="s">
        <v>14</v>
      </c>
      <c r="H15" s="7" t="s">
        <v>54</v>
      </c>
      <c r="I15" s="8">
        <f t="shared" si="1"/>
        <v>-33</v>
      </c>
    </row>
    <row r="16">
      <c r="A16" s="4" t="s">
        <v>51</v>
      </c>
      <c r="B16" s="5">
        <v>193.0</v>
      </c>
      <c r="C16" s="6" t="s">
        <v>10</v>
      </c>
      <c r="D16" s="6" t="s">
        <v>55</v>
      </c>
      <c r="E16" s="6" t="s">
        <v>20</v>
      </c>
      <c r="F16" s="6" t="s">
        <v>13</v>
      </c>
      <c r="G16" s="6" t="s">
        <v>14</v>
      </c>
      <c r="H16" s="7" t="s">
        <v>56</v>
      </c>
      <c r="I16" s="8">
        <f t="shared" si="1"/>
        <v>-193</v>
      </c>
    </row>
    <row r="17">
      <c r="A17" s="4" t="s">
        <v>57</v>
      </c>
      <c r="B17" s="5">
        <v>8.94</v>
      </c>
      <c r="C17" s="6" t="s">
        <v>10</v>
      </c>
      <c r="D17" s="6" t="s">
        <v>58</v>
      </c>
      <c r="E17" s="6" t="s">
        <v>12</v>
      </c>
      <c r="F17" s="6" t="s">
        <v>13</v>
      </c>
      <c r="G17" s="6" t="s">
        <v>14</v>
      </c>
      <c r="H17" s="7" t="s">
        <v>59</v>
      </c>
      <c r="I17" s="8">
        <f t="shared" si="1"/>
        <v>-8.94</v>
      </c>
    </row>
    <row r="18" ht="15.75" customHeight="1">
      <c r="A18" s="4" t="s">
        <v>60</v>
      </c>
      <c r="B18" s="5">
        <v>26.4</v>
      </c>
      <c r="C18" s="6" t="s">
        <v>10</v>
      </c>
      <c r="D18" s="6" t="s">
        <v>61</v>
      </c>
      <c r="E18" s="6" t="s">
        <v>20</v>
      </c>
      <c r="F18" s="6" t="s">
        <v>13</v>
      </c>
      <c r="G18" s="6" t="s">
        <v>14</v>
      </c>
      <c r="H18" s="7" t="s">
        <v>62</v>
      </c>
      <c r="I18" s="8">
        <f t="shared" si="1"/>
        <v>-26.4</v>
      </c>
    </row>
    <row r="19" ht="15.75" customHeight="1">
      <c r="A19" s="4" t="s">
        <v>63</v>
      </c>
      <c r="B19" s="5">
        <v>117.0</v>
      </c>
      <c r="C19" s="6" t="s">
        <v>10</v>
      </c>
      <c r="D19" s="6" t="s">
        <v>64</v>
      </c>
      <c r="E19" s="6" t="s">
        <v>12</v>
      </c>
      <c r="F19" s="6" t="s">
        <v>13</v>
      </c>
      <c r="G19" s="6" t="s">
        <v>14</v>
      </c>
      <c r="H19" s="7" t="s">
        <v>65</v>
      </c>
      <c r="I19" s="8">
        <f t="shared" si="1"/>
        <v>-117</v>
      </c>
    </row>
    <row r="20" ht="15.75" customHeight="1">
      <c r="A20" s="4" t="s">
        <v>66</v>
      </c>
      <c r="B20" s="5">
        <v>9.93</v>
      </c>
      <c r="C20" s="6" t="s">
        <v>10</v>
      </c>
      <c r="D20" s="6" t="s">
        <v>58</v>
      </c>
      <c r="E20" s="6" t="s">
        <v>12</v>
      </c>
      <c r="F20" s="6" t="s">
        <v>13</v>
      </c>
      <c r="G20" s="6" t="s">
        <v>14</v>
      </c>
      <c r="H20" s="7" t="s">
        <v>67</v>
      </c>
      <c r="I20" s="8">
        <f t="shared" si="1"/>
        <v>-9.93</v>
      </c>
    </row>
    <row r="21" ht="15.75" customHeight="1">
      <c r="A21" s="4" t="s">
        <v>68</v>
      </c>
      <c r="B21" s="5">
        <v>500.0</v>
      </c>
      <c r="C21" s="6" t="s">
        <v>10</v>
      </c>
      <c r="D21" s="6" t="s">
        <v>37</v>
      </c>
      <c r="E21" s="6" t="s">
        <v>38</v>
      </c>
      <c r="F21" s="6" t="s">
        <v>39</v>
      </c>
      <c r="G21" s="6" t="s">
        <v>40</v>
      </c>
      <c r="H21" s="7" t="s">
        <v>69</v>
      </c>
      <c r="I21" s="8">
        <f t="shared" si="1"/>
        <v>500</v>
      </c>
    </row>
    <row r="22" ht="15.75" customHeight="1">
      <c r="A22" s="4" t="s">
        <v>70</v>
      </c>
      <c r="B22" s="5">
        <v>8.95</v>
      </c>
      <c r="C22" s="6" t="s">
        <v>10</v>
      </c>
      <c r="D22" s="6" t="s">
        <v>58</v>
      </c>
      <c r="E22" s="6" t="s">
        <v>12</v>
      </c>
      <c r="F22" s="6" t="s">
        <v>13</v>
      </c>
      <c r="G22" s="6" t="s">
        <v>14</v>
      </c>
      <c r="H22" s="7" t="s">
        <v>71</v>
      </c>
      <c r="I22" s="8">
        <f t="shared" si="1"/>
        <v>-8.95</v>
      </c>
    </row>
    <row r="23" ht="15.75" customHeight="1">
      <c r="A23" s="4" t="s">
        <v>72</v>
      </c>
      <c r="B23" s="5">
        <v>25.2</v>
      </c>
      <c r="C23" s="6" t="s">
        <v>10</v>
      </c>
      <c r="D23" s="6" t="s">
        <v>61</v>
      </c>
      <c r="E23" s="6" t="s">
        <v>12</v>
      </c>
      <c r="F23" s="6" t="s">
        <v>13</v>
      </c>
      <c r="G23" s="6" t="s">
        <v>14</v>
      </c>
      <c r="H23" s="7" t="s">
        <v>73</v>
      </c>
      <c r="I23" s="8">
        <f t="shared" si="1"/>
        <v>-25.2</v>
      </c>
    </row>
    <row r="24" ht="15.75" customHeight="1">
      <c r="A24" s="4" t="s">
        <v>74</v>
      </c>
      <c r="B24" s="5">
        <v>22.94</v>
      </c>
      <c r="C24" s="6" t="s">
        <v>10</v>
      </c>
      <c r="D24" s="6" t="s">
        <v>17</v>
      </c>
      <c r="E24" s="6" t="s">
        <v>12</v>
      </c>
      <c r="F24" s="6" t="s">
        <v>13</v>
      </c>
      <c r="G24" s="6" t="s">
        <v>14</v>
      </c>
      <c r="H24" s="7" t="s">
        <v>75</v>
      </c>
      <c r="I24" s="8">
        <f t="shared" si="1"/>
        <v>-22.94</v>
      </c>
    </row>
    <row r="25" ht="15.75" customHeight="1">
      <c r="A25" s="4" t="s">
        <v>76</v>
      </c>
      <c r="B25" s="5">
        <v>40.0</v>
      </c>
      <c r="C25" s="6" t="s">
        <v>10</v>
      </c>
      <c r="D25" s="6" t="s">
        <v>77</v>
      </c>
      <c r="E25" s="6" t="s">
        <v>12</v>
      </c>
      <c r="F25" s="6" t="s">
        <v>13</v>
      </c>
      <c r="G25" s="6" t="s">
        <v>14</v>
      </c>
      <c r="H25" s="7" t="s">
        <v>78</v>
      </c>
      <c r="I25" s="8">
        <f t="shared" si="1"/>
        <v>-40</v>
      </c>
    </row>
    <row r="26" ht="15.75" customHeight="1">
      <c r="A26" s="4" t="s">
        <v>79</v>
      </c>
      <c r="B26" s="5">
        <v>139.0</v>
      </c>
      <c r="C26" s="6" t="s">
        <v>10</v>
      </c>
      <c r="D26" s="6" t="s">
        <v>64</v>
      </c>
      <c r="E26" s="6" t="s">
        <v>12</v>
      </c>
      <c r="F26" s="6" t="s">
        <v>13</v>
      </c>
      <c r="G26" s="6" t="s">
        <v>14</v>
      </c>
      <c r="H26" s="7" t="s">
        <v>80</v>
      </c>
      <c r="I26" s="8">
        <f t="shared" si="1"/>
        <v>-139</v>
      </c>
    </row>
    <row r="27" ht="15.75" customHeight="1">
      <c r="A27" s="4" t="s">
        <v>81</v>
      </c>
      <c r="B27" s="5">
        <v>27.0</v>
      </c>
      <c r="C27" s="6" t="s">
        <v>10</v>
      </c>
      <c r="D27" s="6" t="s">
        <v>82</v>
      </c>
      <c r="E27" s="6" t="s">
        <v>12</v>
      </c>
      <c r="F27" s="6" t="s">
        <v>13</v>
      </c>
      <c r="G27" s="6" t="s">
        <v>14</v>
      </c>
      <c r="H27" s="7" t="s">
        <v>83</v>
      </c>
      <c r="I27" s="8">
        <f t="shared" si="1"/>
        <v>-27</v>
      </c>
    </row>
    <row r="28" ht="15.75" customHeight="1">
      <c r="A28" s="4" t="s">
        <v>84</v>
      </c>
      <c r="B28" s="5">
        <v>340.0</v>
      </c>
      <c r="C28" s="6" t="s">
        <v>10</v>
      </c>
      <c r="D28" s="6" t="s">
        <v>85</v>
      </c>
      <c r="E28" s="6" t="s">
        <v>20</v>
      </c>
      <c r="F28" s="6" t="s">
        <v>13</v>
      </c>
      <c r="G28" s="6" t="s">
        <v>14</v>
      </c>
      <c r="H28" s="7" t="s">
        <v>86</v>
      </c>
      <c r="I28" s="8">
        <f t="shared" si="1"/>
        <v>-340</v>
      </c>
    </row>
    <row r="29" ht="15.75" customHeight="1">
      <c r="A29" s="4" t="s">
        <v>87</v>
      </c>
      <c r="B29" s="5">
        <v>47.0</v>
      </c>
      <c r="C29" s="6" t="s">
        <v>10</v>
      </c>
      <c r="D29" s="6" t="s">
        <v>82</v>
      </c>
      <c r="E29" s="6" t="s">
        <v>12</v>
      </c>
      <c r="F29" s="6" t="s">
        <v>13</v>
      </c>
      <c r="G29" s="6" t="s">
        <v>14</v>
      </c>
      <c r="H29" s="7" t="s">
        <v>88</v>
      </c>
      <c r="I29" s="8">
        <f t="shared" si="1"/>
        <v>-47</v>
      </c>
    </row>
    <row r="30" ht="15.75" customHeight="1">
      <c r="A30" s="4" t="s">
        <v>89</v>
      </c>
      <c r="B30" s="5">
        <v>30.0</v>
      </c>
      <c r="C30" s="6" t="s">
        <v>10</v>
      </c>
      <c r="D30" s="6" t="s">
        <v>90</v>
      </c>
      <c r="E30" s="6" t="s">
        <v>20</v>
      </c>
      <c r="F30" s="6" t="s">
        <v>13</v>
      </c>
      <c r="G30" s="6" t="s">
        <v>14</v>
      </c>
      <c r="H30" s="7" t="s">
        <v>91</v>
      </c>
      <c r="I30" s="8">
        <f t="shared" si="1"/>
        <v>-30</v>
      </c>
    </row>
    <row r="31" ht="15.75" customHeight="1">
      <c r="A31" s="4" t="s">
        <v>92</v>
      </c>
      <c r="B31" s="5">
        <v>18.96</v>
      </c>
      <c r="C31" s="6" t="s">
        <v>10</v>
      </c>
      <c r="D31" s="6" t="s">
        <v>17</v>
      </c>
      <c r="E31" s="6" t="s">
        <v>12</v>
      </c>
      <c r="F31" s="6" t="s">
        <v>13</v>
      </c>
      <c r="G31" s="6" t="s">
        <v>14</v>
      </c>
      <c r="H31" s="7" t="s">
        <v>93</v>
      </c>
      <c r="I31" s="8">
        <f t="shared" si="1"/>
        <v>-18.96</v>
      </c>
    </row>
    <row r="32" ht="15.75" customHeight="1">
      <c r="A32" s="4" t="s">
        <v>94</v>
      </c>
      <c r="B32" s="5">
        <v>45.0</v>
      </c>
      <c r="C32" s="6" t="s">
        <v>10</v>
      </c>
      <c r="D32" s="6" t="s">
        <v>90</v>
      </c>
      <c r="E32" s="6" t="s">
        <v>20</v>
      </c>
      <c r="F32" s="6" t="s">
        <v>13</v>
      </c>
      <c r="G32" s="6" t="s">
        <v>14</v>
      </c>
      <c r="H32" s="7" t="s">
        <v>95</v>
      </c>
      <c r="I32" s="8">
        <f t="shared" si="1"/>
        <v>-45</v>
      </c>
    </row>
    <row r="33" ht="15.75" customHeight="1">
      <c r="A33" s="4" t="s">
        <v>96</v>
      </c>
      <c r="B33" s="5">
        <v>79.0</v>
      </c>
      <c r="C33" s="6" t="s">
        <v>10</v>
      </c>
      <c r="D33" s="6" t="s">
        <v>23</v>
      </c>
      <c r="E33" s="6" t="s">
        <v>20</v>
      </c>
      <c r="F33" s="6" t="s">
        <v>13</v>
      </c>
      <c r="G33" s="6" t="s">
        <v>14</v>
      </c>
      <c r="H33" s="7" t="s">
        <v>97</v>
      </c>
      <c r="I33" s="8">
        <f t="shared" si="1"/>
        <v>-79</v>
      </c>
    </row>
    <row r="34" ht="15.75" customHeight="1">
      <c r="A34" s="4" t="s">
        <v>98</v>
      </c>
      <c r="B34" s="5">
        <v>37.0</v>
      </c>
      <c r="C34" s="6" t="s">
        <v>10</v>
      </c>
      <c r="D34" s="6" t="s">
        <v>64</v>
      </c>
      <c r="E34" s="6" t="s">
        <v>20</v>
      </c>
      <c r="F34" s="6" t="s">
        <v>13</v>
      </c>
      <c r="G34" s="6" t="s">
        <v>14</v>
      </c>
      <c r="H34" s="7" t="s">
        <v>99</v>
      </c>
      <c r="I34" s="8">
        <f t="shared" si="1"/>
        <v>-37</v>
      </c>
    </row>
    <row r="35" ht="15.75" customHeight="1">
      <c r="A35" s="4" t="s">
        <v>100</v>
      </c>
      <c r="B35" s="5">
        <v>20.93</v>
      </c>
      <c r="C35" s="6" t="s">
        <v>10</v>
      </c>
      <c r="D35" s="6" t="s">
        <v>58</v>
      </c>
      <c r="E35" s="6" t="s">
        <v>12</v>
      </c>
      <c r="F35" s="6" t="s">
        <v>13</v>
      </c>
      <c r="G35" s="6" t="s">
        <v>14</v>
      </c>
      <c r="H35" s="7" t="s">
        <v>101</v>
      </c>
      <c r="I35" s="8">
        <f t="shared" si="1"/>
        <v>-20.93</v>
      </c>
    </row>
    <row r="36" ht="15.75" customHeight="1">
      <c r="A36" s="4" t="s">
        <v>102</v>
      </c>
      <c r="B36" s="5">
        <v>10.0</v>
      </c>
      <c r="C36" s="6" t="s">
        <v>103</v>
      </c>
      <c r="D36" s="6" t="s">
        <v>104</v>
      </c>
      <c r="E36" s="6" t="s">
        <v>20</v>
      </c>
      <c r="F36" s="6" t="s">
        <v>13</v>
      </c>
      <c r="G36" s="6" t="s">
        <v>14</v>
      </c>
      <c r="H36" s="7" t="s">
        <v>105</v>
      </c>
      <c r="I36" s="8">
        <f t="shared" si="1"/>
        <v>-10</v>
      </c>
    </row>
    <row r="37" ht="15.75" customHeight="1">
      <c r="A37" s="4" t="s">
        <v>102</v>
      </c>
      <c r="B37" s="5">
        <v>91.73</v>
      </c>
      <c r="C37" s="6" t="s">
        <v>103</v>
      </c>
      <c r="D37" s="6" t="s">
        <v>106</v>
      </c>
      <c r="E37" s="6" t="s">
        <v>20</v>
      </c>
      <c r="F37" s="6" t="s">
        <v>13</v>
      </c>
      <c r="G37" s="6" t="s">
        <v>14</v>
      </c>
      <c r="H37" s="7" t="s">
        <v>107</v>
      </c>
      <c r="I37" s="8">
        <f t="shared" si="1"/>
        <v>-91.73</v>
      </c>
    </row>
    <row r="38" ht="15.75" customHeight="1">
      <c r="A38" s="4" t="s">
        <v>108</v>
      </c>
      <c r="B38" s="5">
        <v>8.95</v>
      </c>
      <c r="C38" s="6" t="s">
        <v>10</v>
      </c>
      <c r="D38" s="6" t="s">
        <v>58</v>
      </c>
      <c r="E38" s="6" t="s">
        <v>12</v>
      </c>
      <c r="F38" s="6" t="s">
        <v>13</v>
      </c>
      <c r="G38" s="6" t="s">
        <v>14</v>
      </c>
      <c r="H38" s="7" t="s">
        <v>109</v>
      </c>
      <c r="I38" s="8">
        <f t="shared" si="1"/>
        <v>-8.95</v>
      </c>
    </row>
    <row r="39" ht="15.75" customHeight="1">
      <c r="A39" s="4" t="s">
        <v>110</v>
      </c>
      <c r="B39" s="5">
        <v>47.49</v>
      </c>
      <c r="C39" s="6" t="s">
        <v>10</v>
      </c>
      <c r="D39" s="6" t="s">
        <v>111</v>
      </c>
      <c r="E39" s="6" t="s">
        <v>20</v>
      </c>
      <c r="F39" s="6" t="s">
        <v>13</v>
      </c>
      <c r="G39" s="6" t="s">
        <v>14</v>
      </c>
      <c r="H39" s="7" t="s">
        <v>112</v>
      </c>
      <c r="I39" s="8">
        <f t="shared" si="1"/>
        <v>-47.49</v>
      </c>
    </row>
    <row r="40" ht="15.75" customHeight="1">
      <c r="A40" s="4" t="s">
        <v>113</v>
      </c>
      <c r="B40" s="5">
        <v>25.0</v>
      </c>
      <c r="C40" s="6" t="s">
        <v>103</v>
      </c>
      <c r="D40" s="6" t="s">
        <v>114</v>
      </c>
      <c r="E40" s="6" t="s">
        <v>12</v>
      </c>
      <c r="F40" s="6" t="s">
        <v>13</v>
      </c>
      <c r="G40" s="6" t="s">
        <v>14</v>
      </c>
      <c r="H40" s="7" t="s">
        <v>115</v>
      </c>
      <c r="I40" s="8">
        <f t="shared" si="1"/>
        <v>-25</v>
      </c>
    </row>
    <row r="41" ht="15.75" customHeight="1">
      <c r="A41" s="4" t="s">
        <v>116</v>
      </c>
      <c r="B41" s="5">
        <v>15.96</v>
      </c>
      <c r="C41" s="6" t="s">
        <v>10</v>
      </c>
      <c r="D41" s="6" t="s">
        <v>17</v>
      </c>
      <c r="E41" s="6" t="s">
        <v>12</v>
      </c>
      <c r="F41" s="6" t="s">
        <v>13</v>
      </c>
      <c r="G41" s="6" t="s">
        <v>14</v>
      </c>
      <c r="H41" s="7" t="s">
        <v>117</v>
      </c>
      <c r="I41" s="8">
        <f t="shared" si="1"/>
        <v>-15.96</v>
      </c>
    </row>
    <row r="42" ht="15.75" customHeight="1">
      <c r="A42" s="4" t="s">
        <v>118</v>
      </c>
      <c r="B42" s="5">
        <v>15.94</v>
      </c>
      <c r="C42" s="6" t="s">
        <v>10</v>
      </c>
      <c r="D42" s="6" t="s">
        <v>17</v>
      </c>
      <c r="E42" s="6" t="s">
        <v>12</v>
      </c>
      <c r="F42" s="6" t="s">
        <v>13</v>
      </c>
      <c r="G42" s="6" t="s">
        <v>14</v>
      </c>
      <c r="H42" s="7" t="s">
        <v>119</v>
      </c>
      <c r="I42" s="8">
        <f t="shared" si="1"/>
        <v>-15.94</v>
      </c>
    </row>
    <row r="43" ht="15.75" customHeight="1">
      <c r="A43" s="4" t="s">
        <v>120</v>
      </c>
      <c r="B43" s="5">
        <v>158.25</v>
      </c>
      <c r="C43" s="6" t="s">
        <v>10</v>
      </c>
      <c r="D43" s="6" t="s">
        <v>64</v>
      </c>
      <c r="E43" s="6" t="s">
        <v>20</v>
      </c>
      <c r="F43" s="6" t="s">
        <v>13</v>
      </c>
      <c r="G43" s="6" t="s">
        <v>14</v>
      </c>
      <c r="H43" s="7" t="s">
        <v>121</v>
      </c>
      <c r="I43" s="8">
        <f t="shared" si="1"/>
        <v>-158.25</v>
      </c>
    </row>
    <row r="44" ht="15.75" customHeight="1">
      <c r="A44" s="4" t="s">
        <v>122</v>
      </c>
      <c r="B44" s="5">
        <v>86.0</v>
      </c>
      <c r="C44" s="6" t="s">
        <v>10</v>
      </c>
      <c r="D44" s="6" t="s">
        <v>64</v>
      </c>
      <c r="E44" s="6" t="s">
        <v>20</v>
      </c>
      <c r="F44" s="6" t="s">
        <v>13</v>
      </c>
      <c r="G44" s="6" t="s">
        <v>14</v>
      </c>
      <c r="H44" s="7" t="s">
        <v>123</v>
      </c>
      <c r="I44" s="8">
        <f t="shared" si="1"/>
        <v>-86</v>
      </c>
    </row>
    <row r="45" ht="15.75" customHeight="1">
      <c r="A45" s="4" t="s">
        <v>124</v>
      </c>
      <c r="B45" s="5">
        <v>26.4</v>
      </c>
      <c r="C45" s="6" t="s">
        <v>10</v>
      </c>
      <c r="D45" s="6" t="s">
        <v>90</v>
      </c>
      <c r="E45" s="6" t="s">
        <v>20</v>
      </c>
      <c r="F45" s="6" t="s">
        <v>13</v>
      </c>
      <c r="G45" s="6" t="s">
        <v>14</v>
      </c>
      <c r="H45" s="7" t="s">
        <v>125</v>
      </c>
      <c r="I45" s="8">
        <f t="shared" si="1"/>
        <v>-26.4</v>
      </c>
    </row>
    <row r="46" ht="15.75" customHeight="1">
      <c r="A46" s="4" t="s">
        <v>126</v>
      </c>
      <c r="B46" s="5">
        <v>25.39</v>
      </c>
      <c r="C46" s="6" t="s">
        <v>10</v>
      </c>
      <c r="D46" s="6" t="s">
        <v>90</v>
      </c>
      <c r="E46" s="6" t="s">
        <v>20</v>
      </c>
      <c r="F46" s="6" t="s">
        <v>13</v>
      </c>
      <c r="G46" s="6" t="s">
        <v>14</v>
      </c>
      <c r="H46" s="7" t="s">
        <v>127</v>
      </c>
      <c r="I46" s="8">
        <f t="shared" si="1"/>
        <v>-25.39</v>
      </c>
    </row>
    <row r="47" ht="15.75" customHeight="1">
      <c r="A47" s="4" t="s">
        <v>128</v>
      </c>
      <c r="B47" s="5">
        <v>40.0</v>
      </c>
      <c r="C47" s="6" t="s">
        <v>10</v>
      </c>
      <c r="D47" s="6" t="s">
        <v>129</v>
      </c>
      <c r="E47" s="6" t="s">
        <v>12</v>
      </c>
      <c r="F47" s="6" t="s">
        <v>13</v>
      </c>
      <c r="G47" s="6" t="s">
        <v>14</v>
      </c>
      <c r="H47" s="7" t="s">
        <v>130</v>
      </c>
      <c r="I47" s="8">
        <f t="shared" si="1"/>
        <v>-40</v>
      </c>
    </row>
    <row r="48" ht="15.75" customHeight="1">
      <c r="A48" s="4" t="s">
        <v>131</v>
      </c>
      <c r="B48" s="5">
        <v>26.4</v>
      </c>
      <c r="C48" s="6" t="s">
        <v>10</v>
      </c>
      <c r="D48" s="6" t="s">
        <v>90</v>
      </c>
      <c r="E48" s="6" t="s">
        <v>20</v>
      </c>
      <c r="F48" s="6" t="s">
        <v>13</v>
      </c>
      <c r="G48" s="6" t="s">
        <v>14</v>
      </c>
      <c r="H48" s="7" t="s">
        <v>132</v>
      </c>
      <c r="I48" s="8">
        <f t="shared" si="1"/>
        <v>-26.4</v>
      </c>
    </row>
    <row r="49" ht="15.75" customHeight="1">
      <c r="A49" s="4" t="s">
        <v>133</v>
      </c>
      <c r="B49" s="5">
        <v>42.2</v>
      </c>
      <c r="C49" s="6" t="s">
        <v>10</v>
      </c>
      <c r="D49" s="6" t="s">
        <v>64</v>
      </c>
      <c r="E49" s="6" t="s">
        <v>20</v>
      </c>
      <c r="F49" s="6" t="s">
        <v>13</v>
      </c>
      <c r="G49" s="6" t="s">
        <v>14</v>
      </c>
      <c r="H49" s="7" t="s">
        <v>134</v>
      </c>
      <c r="I49" s="8">
        <f t="shared" si="1"/>
        <v>-42.2</v>
      </c>
    </row>
    <row r="50" ht="15.75" customHeight="1">
      <c r="A50" s="4" t="s">
        <v>135</v>
      </c>
      <c r="B50" s="5">
        <v>5.5</v>
      </c>
      <c r="C50" s="6" t="s">
        <v>10</v>
      </c>
      <c r="D50" s="6" t="s">
        <v>136</v>
      </c>
      <c r="E50" s="6" t="s">
        <v>12</v>
      </c>
      <c r="F50" s="6" t="s">
        <v>13</v>
      </c>
      <c r="G50" s="6" t="s">
        <v>14</v>
      </c>
      <c r="H50" s="7" t="s">
        <v>137</v>
      </c>
      <c r="I50" s="8">
        <f t="shared" si="1"/>
        <v>-5.5</v>
      </c>
    </row>
    <row r="51" ht="15.75" customHeight="1">
      <c r="A51" s="4" t="s">
        <v>138</v>
      </c>
      <c r="B51" s="5">
        <v>50.0</v>
      </c>
      <c r="C51" s="6" t="s">
        <v>10</v>
      </c>
      <c r="D51" s="6" t="s">
        <v>136</v>
      </c>
      <c r="E51" s="6" t="s">
        <v>20</v>
      </c>
      <c r="F51" s="6" t="s">
        <v>13</v>
      </c>
      <c r="G51" s="6" t="s">
        <v>14</v>
      </c>
      <c r="H51" s="7" t="s">
        <v>139</v>
      </c>
      <c r="I51" s="8">
        <f t="shared" si="1"/>
        <v>-50</v>
      </c>
    </row>
    <row r="52" ht="15.75" customHeight="1">
      <c r="A52" s="4" t="s">
        <v>140</v>
      </c>
      <c r="B52" s="5">
        <v>45.0</v>
      </c>
      <c r="C52" s="6" t="s">
        <v>10</v>
      </c>
      <c r="D52" s="6" t="s">
        <v>141</v>
      </c>
      <c r="E52" s="9" t="s">
        <v>142</v>
      </c>
      <c r="F52" s="6" t="s">
        <v>13</v>
      </c>
      <c r="G52" s="9" t="s">
        <v>142</v>
      </c>
      <c r="H52" s="7" t="s">
        <v>143</v>
      </c>
      <c r="I52" s="8">
        <f t="shared" si="1"/>
        <v>-45</v>
      </c>
    </row>
    <row r="53" ht="15.75" customHeight="1">
      <c r="A53" s="4" t="s">
        <v>144</v>
      </c>
      <c r="B53" s="5">
        <v>26.0</v>
      </c>
      <c r="C53" s="6" t="s">
        <v>10</v>
      </c>
      <c r="D53" s="6" t="s">
        <v>90</v>
      </c>
      <c r="E53" s="6" t="s">
        <v>20</v>
      </c>
      <c r="F53" s="6" t="s">
        <v>13</v>
      </c>
      <c r="G53" s="6" t="s">
        <v>14</v>
      </c>
      <c r="H53" s="7" t="s">
        <v>145</v>
      </c>
      <c r="I53" s="8">
        <f t="shared" si="1"/>
        <v>-26</v>
      </c>
    </row>
    <row r="54" ht="15.75" customHeight="1">
      <c r="A54" s="4" t="s">
        <v>146</v>
      </c>
      <c r="B54" s="5">
        <v>47.0</v>
      </c>
      <c r="C54" s="6" t="s">
        <v>10</v>
      </c>
      <c r="D54" s="6" t="s">
        <v>23</v>
      </c>
      <c r="E54" s="6" t="s">
        <v>20</v>
      </c>
      <c r="F54" s="6" t="s">
        <v>13</v>
      </c>
      <c r="G54" s="6" t="s">
        <v>14</v>
      </c>
      <c r="H54" s="7" t="s">
        <v>147</v>
      </c>
      <c r="I54" s="8">
        <f t="shared" si="1"/>
        <v>-47</v>
      </c>
    </row>
    <row r="55" ht="15.75" customHeight="1">
      <c r="A55" s="4" t="s">
        <v>148</v>
      </c>
      <c r="B55" s="5">
        <v>100.0</v>
      </c>
      <c r="C55" s="6" t="s">
        <v>10</v>
      </c>
      <c r="D55" s="6" t="s">
        <v>64</v>
      </c>
      <c r="E55" s="6" t="s">
        <v>20</v>
      </c>
      <c r="F55" s="6" t="s">
        <v>13</v>
      </c>
      <c r="G55" s="6" t="s">
        <v>14</v>
      </c>
      <c r="H55" s="7" t="s">
        <v>149</v>
      </c>
      <c r="I55" s="8">
        <f t="shared" si="1"/>
        <v>-100</v>
      </c>
    </row>
    <row r="56" ht="15.75" customHeight="1">
      <c r="A56" s="4" t="s">
        <v>150</v>
      </c>
      <c r="B56" s="5">
        <v>47.5</v>
      </c>
      <c r="C56" s="6" t="s">
        <v>10</v>
      </c>
      <c r="D56" s="6" t="s">
        <v>64</v>
      </c>
      <c r="E56" s="6" t="s">
        <v>20</v>
      </c>
      <c r="F56" s="6" t="s">
        <v>13</v>
      </c>
      <c r="G56" s="6" t="s">
        <v>14</v>
      </c>
      <c r="H56" s="7" t="s">
        <v>151</v>
      </c>
      <c r="I56" s="8">
        <f t="shared" si="1"/>
        <v>-47.5</v>
      </c>
    </row>
    <row r="57" ht="15.75" customHeight="1">
      <c r="A57" s="4" t="s">
        <v>152</v>
      </c>
      <c r="B57" s="5">
        <v>17.5</v>
      </c>
      <c r="C57" s="6" t="s">
        <v>10</v>
      </c>
      <c r="D57" s="6" t="s">
        <v>26</v>
      </c>
      <c r="E57" s="6" t="s">
        <v>20</v>
      </c>
      <c r="F57" s="6" t="s">
        <v>13</v>
      </c>
      <c r="G57" s="6" t="s">
        <v>14</v>
      </c>
      <c r="H57" s="7" t="s">
        <v>153</v>
      </c>
      <c r="I57" s="8">
        <f t="shared" si="1"/>
        <v>-17.5</v>
      </c>
    </row>
    <row r="58" ht="15.75" customHeight="1">
      <c r="A58" s="4" t="s">
        <v>154</v>
      </c>
      <c r="B58" s="5">
        <v>25.0</v>
      </c>
      <c r="C58" s="6" t="s">
        <v>10</v>
      </c>
      <c r="D58" s="6" t="s">
        <v>64</v>
      </c>
      <c r="E58" s="6" t="s">
        <v>20</v>
      </c>
      <c r="F58" s="6" t="s">
        <v>13</v>
      </c>
      <c r="G58" s="6" t="s">
        <v>14</v>
      </c>
      <c r="H58" s="7" t="s">
        <v>155</v>
      </c>
      <c r="I58" s="8">
        <f t="shared" si="1"/>
        <v>-25</v>
      </c>
    </row>
    <row r="59" ht="15.75" customHeight="1">
      <c r="A59" s="4" t="s">
        <v>156</v>
      </c>
      <c r="B59" s="5">
        <v>66.0</v>
      </c>
      <c r="C59" s="6" t="s">
        <v>10</v>
      </c>
      <c r="D59" s="6" t="s">
        <v>90</v>
      </c>
      <c r="E59" s="6" t="s">
        <v>20</v>
      </c>
      <c r="F59" s="6" t="s">
        <v>13</v>
      </c>
      <c r="G59" s="6" t="s">
        <v>14</v>
      </c>
      <c r="H59" s="7" t="s">
        <v>157</v>
      </c>
      <c r="I59" s="8">
        <f t="shared" si="1"/>
        <v>-66</v>
      </c>
    </row>
    <row r="60" ht="15.75" customHeight="1">
      <c r="A60" s="4" t="s">
        <v>158</v>
      </c>
      <c r="B60" s="5">
        <v>5.0</v>
      </c>
      <c r="C60" s="6" t="s">
        <v>103</v>
      </c>
      <c r="D60" s="6" t="s">
        <v>159</v>
      </c>
      <c r="E60" s="6" t="s">
        <v>12</v>
      </c>
      <c r="F60" s="6" t="s">
        <v>13</v>
      </c>
      <c r="G60" s="6" t="s">
        <v>14</v>
      </c>
      <c r="H60" s="7" t="s">
        <v>160</v>
      </c>
      <c r="I60" s="8">
        <f t="shared" si="1"/>
        <v>-5</v>
      </c>
    </row>
    <row r="61" ht="15.75" customHeight="1">
      <c r="A61" s="4" t="s">
        <v>158</v>
      </c>
      <c r="B61" s="5">
        <v>1.0</v>
      </c>
      <c r="C61" s="6" t="s">
        <v>103</v>
      </c>
      <c r="D61" s="6" t="s">
        <v>161</v>
      </c>
      <c r="E61" s="6" t="s">
        <v>12</v>
      </c>
      <c r="F61" s="6" t="s">
        <v>13</v>
      </c>
      <c r="G61" s="6" t="s">
        <v>14</v>
      </c>
      <c r="H61" s="7" t="s">
        <v>162</v>
      </c>
      <c r="I61" s="8">
        <f t="shared" si="1"/>
        <v>-1</v>
      </c>
    </row>
    <row r="62" ht="15.75" customHeight="1">
      <c r="A62" s="4" t="s">
        <v>158</v>
      </c>
      <c r="B62" s="5">
        <v>7.0</v>
      </c>
      <c r="C62" s="6" t="s">
        <v>103</v>
      </c>
      <c r="D62" s="6" t="s">
        <v>161</v>
      </c>
      <c r="E62" s="6" t="s">
        <v>12</v>
      </c>
      <c r="F62" s="6" t="s">
        <v>13</v>
      </c>
      <c r="G62" s="6" t="s">
        <v>14</v>
      </c>
      <c r="H62" s="7" t="s">
        <v>163</v>
      </c>
      <c r="I62" s="8">
        <f t="shared" si="1"/>
        <v>-7</v>
      </c>
    </row>
    <row r="63" ht="15.75" customHeight="1">
      <c r="A63" s="4" t="s">
        <v>164</v>
      </c>
      <c r="B63" s="5">
        <v>33.0</v>
      </c>
      <c r="C63" s="6" t="s">
        <v>10</v>
      </c>
      <c r="D63" s="6" t="s">
        <v>90</v>
      </c>
      <c r="E63" s="6" t="s">
        <v>20</v>
      </c>
      <c r="F63" s="6" t="s">
        <v>13</v>
      </c>
      <c r="G63" s="6" t="s">
        <v>14</v>
      </c>
      <c r="H63" s="7" t="s">
        <v>165</v>
      </c>
      <c r="I63" s="8">
        <f t="shared" si="1"/>
        <v>-33</v>
      </c>
    </row>
    <row r="64" ht="15.75" customHeight="1">
      <c r="A64" s="4" t="s">
        <v>166</v>
      </c>
      <c r="B64" s="5">
        <v>5.0</v>
      </c>
      <c r="C64" s="6" t="s">
        <v>103</v>
      </c>
      <c r="D64" s="6" t="s">
        <v>104</v>
      </c>
      <c r="E64" s="6" t="s">
        <v>12</v>
      </c>
      <c r="F64" s="6" t="s">
        <v>13</v>
      </c>
      <c r="G64" s="6" t="s">
        <v>14</v>
      </c>
      <c r="H64" s="7" t="s">
        <v>167</v>
      </c>
      <c r="I64" s="8">
        <f t="shared" si="1"/>
        <v>-5</v>
      </c>
    </row>
    <row r="65" ht="15.75" customHeight="1">
      <c r="A65" s="4" t="s">
        <v>166</v>
      </c>
      <c r="B65" s="5">
        <v>10.0</v>
      </c>
      <c r="C65" s="6" t="s">
        <v>103</v>
      </c>
      <c r="D65" s="6" t="s">
        <v>104</v>
      </c>
      <c r="E65" s="6" t="s">
        <v>12</v>
      </c>
      <c r="F65" s="6" t="s">
        <v>13</v>
      </c>
      <c r="G65" s="6" t="s">
        <v>14</v>
      </c>
      <c r="H65" s="7" t="s">
        <v>168</v>
      </c>
      <c r="I65" s="8">
        <f t="shared" si="1"/>
        <v>-10</v>
      </c>
    </row>
    <row r="66" ht="15.75" customHeight="1">
      <c r="A66" s="4" t="s">
        <v>166</v>
      </c>
      <c r="B66" s="5">
        <v>15.0</v>
      </c>
      <c r="C66" s="6" t="s">
        <v>103</v>
      </c>
      <c r="D66" s="6" t="s">
        <v>169</v>
      </c>
      <c r="E66" s="6" t="s">
        <v>12</v>
      </c>
      <c r="F66" s="6" t="s">
        <v>13</v>
      </c>
      <c r="G66" s="6" t="s">
        <v>14</v>
      </c>
      <c r="H66" s="7" t="s">
        <v>170</v>
      </c>
      <c r="I66" s="8">
        <f t="shared" si="1"/>
        <v>-15</v>
      </c>
    </row>
    <row r="67" ht="15.75" customHeight="1">
      <c r="A67" s="4" t="s">
        <v>171</v>
      </c>
      <c r="B67" s="5">
        <v>20.2</v>
      </c>
      <c r="C67" s="6" t="s">
        <v>10</v>
      </c>
      <c r="D67" s="6" t="s">
        <v>90</v>
      </c>
      <c r="E67" s="6" t="s">
        <v>12</v>
      </c>
      <c r="F67" s="6" t="s">
        <v>13</v>
      </c>
      <c r="G67" s="6" t="s">
        <v>14</v>
      </c>
      <c r="H67" s="7" t="s">
        <v>172</v>
      </c>
      <c r="I67" s="8">
        <f t="shared" si="1"/>
        <v>-20.2</v>
      </c>
    </row>
    <row r="68" ht="15.75" customHeight="1">
      <c r="A68" s="4" t="s">
        <v>173</v>
      </c>
      <c r="B68" s="5">
        <v>24.89</v>
      </c>
      <c r="C68" s="6" t="s">
        <v>10</v>
      </c>
      <c r="D68" s="6" t="s">
        <v>90</v>
      </c>
      <c r="E68" s="6" t="s">
        <v>12</v>
      </c>
      <c r="F68" s="6" t="s">
        <v>13</v>
      </c>
      <c r="G68" s="6" t="s">
        <v>14</v>
      </c>
      <c r="H68" s="7" t="s">
        <v>174</v>
      </c>
      <c r="I68" s="8">
        <f t="shared" si="1"/>
        <v>-24.89</v>
      </c>
    </row>
    <row r="69" ht="15.75" customHeight="1">
      <c r="A69" s="4" t="s">
        <v>175</v>
      </c>
      <c r="B69" s="5">
        <v>54.9</v>
      </c>
      <c r="C69" s="6" t="s">
        <v>10</v>
      </c>
      <c r="D69" s="6" t="s">
        <v>176</v>
      </c>
      <c r="E69" s="6" t="s">
        <v>20</v>
      </c>
      <c r="F69" s="6" t="s">
        <v>13</v>
      </c>
      <c r="G69" s="6" t="s">
        <v>14</v>
      </c>
      <c r="H69" s="7" t="s">
        <v>177</v>
      </c>
      <c r="I69" s="8">
        <f t="shared" si="1"/>
        <v>-54.9</v>
      </c>
    </row>
    <row r="70" ht="15.75" customHeight="1">
      <c r="A70" s="4" t="s">
        <v>178</v>
      </c>
      <c r="B70" s="5">
        <v>50.0</v>
      </c>
      <c r="C70" s="6" t="s">
        <v>10</v>
      </c>
      <c r="D70" s="6" t="s">
        <v>136</v>
      </c>
      <c r="E70" s="6" t="s">
        <v>20</v>
      </c>
      <c r="F70" s="6" t="s">
        <v>13</v>
      </c>
      <c r="G70" s="6" t="s">
        <v>14</v>
      </c>
      <c r="H70" s="7" t="s">
        <v>179</v>
      </c>
      <c r="I70" s="8">
        <f t="shared" si="1"/>
        <v>-50</v>
      </c>
    </row>
    <row r="71" ht="15.75" customHeight="1">
      <c r="A71" s="4" t="s">
        <v>178</v>
      </c>
      <c r="B71" s="5">
        <v>107.2</v>
      </c>
      <c r="C71" s="6" t="s">
        <v>10</v>
      </c>
      <c r="D71" s="6" t="s">
        <v>136</v>
      </c>
      <c r="E71" s="6" t="s">
        <v>20</v>
      </c>
      <c r="F71" s="6" t="s">
        <v>13</v>
      </c>
      <c r="G71" s="6" t="s">
        <v>14</v>
      </c>
      <c r="H71" s="7" t="s">
        <v>180</v>
      </c>
      <c r="I71" s="8">
        <f t="shared" si="1"/>
        <v>-107.2</v>
      </c>
    </row>
    <row r="72" ht="15.75" customHeight="1">
      <c r="A72" s="4" t="s">
        <v>178</v>
      </c>
      <c r="B72" s="5">
        <v>78.0</v>
      </c>
      <c r="C72" s="6" t="s">
        <v>10</v>
      </c>
      <c r="D72" s="6" t="s">
        <v>90</v>
      </c>
      <c r="E72" s="6" t="s">
        <v>12</v>
      </c>
      <c r="F72" s="6" t="s">
        <v>13</v>
      </c>
      <c r="G72" s="6" t="s">
        <v>14</v>
      </c>
      <c r="H72" s="7" t="s">
        <v>181</v>
      </c>
      <c r="I72" s="8">
        <f t="shared" si="1"/>
        <v>-78</v>
      </c>
    </row>
    <row r="73" ht="15.75" customHeight="1">
      <c r="A73" s="4" t="s">
        <v>182</v>
      </c>
      <c r="B73" s="5">
        <v>44.0</v>
      </c>
      <c r="C73" s="6" t="s">
        <v>10</v>
      </c>
      <c r="D73" s="6" t="s">
        <v>64</v>
      </c>
      <c r="E73" s="6" t="s">
        <v>20</v>
      </c>
      <c r="F73" s="6" t="s">
        <v>13</v>
      </c>
      <c r="G73" s="6" t="s">
        <v>14</v>
      </c>
      <c r="H73" s="7" t="s">
        <v>183</v>
      </c>
      <c r="I73" s="8">
        <f t="shared" si="1"/>
        <v>-44</v>
      </c>
    </row>
    <row r="74" ht="15.75" customHeight="1">
      <c r="A74" s="4" t="s">
        <v>184</v>
      </c>
      <c r="B74" s="5">
        <v>50.0</v>
      </c>
      <c r="C74" s="6" t="s">
        <v>10</v>
      </c>
      <c r="D74" s="6" t="s">
        <v>64</v>
      </c>
      <c r="E74" s="6" t="s">
        <v>20</v>
      </c>
      <c r="F74" s="6" t="s">
        <v>13</v>
      </c>
      <c r="G74" s="6" t="s">
        <v>14</v>
      </c>
      <c r="H74" s="7" t="s">
        <v>185</v>
      </c>
      <c r="I74" s="8">
        <f t="shared" si="1"/>
        <v>-50</v>
      </c>
    </row>
    <row r="75" ht="15.75" customHeight="1">
      <c r="A75" s="4" t="s">
        <v>186</v>
      </c>
      <c r="B75" s="5">
        <v>25.0</v>
      </c>
      <c r="C75" s="6" t="s">
        <v>10</v>
      </c>
      <c r="D75" s="6" t="s">
        <v>64</v>
      </c>
      <c r="E75" s="6" t="s">
        <v>20</v>
      </c>
      <c r="F75" s="6" t="s">
        <v>13</v>
      </c>
      <c r="G75" s="6" t="s">
        <v>14</v>
      </c>
      <c r="H75" s="7" t="s">
        <v>187</v>
      </c>
      <c r="I75" s="8">
        <f t="shared" si="1"/>
        <v>-25</v>
      </c>
    </row>
    <row r="76" ht="15.75" customHeight="1">
      <c r="A76" s="4" t="s">
        <v>188</v>
      </c>
      <c r="B76" s="5">
        <v>42.0</v>
      </c>
      <c r="C76" s="6" t="s">
        <v>10</v>
      </c>
      <c r="D76" s="6" t="s">
        <v>90</v>
      </c>
      <c r="E76" s="6" t="s">
        <v>12</v>
      </c>
      <c r="F76" s="6" t="s">
        <v>13</v>
      </c>
      <c r="G76" s="6" t="s">
        <v>14</v>
      </c>
      <c r="H76" s="7" t="s">
        <v>189</v>
      </c>
      <c r="I76" s="8">
        <f t="shared" si="1"/>
        <v>-42</v>
      </c>
    </row>
    <row r="77" ht="15.75" customHeight="1">
      <c r="A77" s="4" t="s">
        <v>190</v>
      </c>
      <c r="B77" s="5">
        <v>53.2</v>
      </c>
      <c r="C77" s="6" t="s">
        <v>10</v>
      </c>
      <c r="D77" s="6" t="s">
        <v>90</v>
      </c>
      <c r="E77" s="6" t="s">
        <v>20</v>
      </c>
      <c r="F77" s="6" t="s">
        <v>13</v>
      </c>
      <c r="G77" s="6" t="s">
        <v>14</v>
      </c>
      <c r="H77" s="7" t="s">
        <v>191</v>
      </c>
      <c r="I77" s="8">
        <f t="shared" si="1"/>
        <v>-53.2</v>
      </c>
    </row>
    <row r="78" ht="15.75" customHeight="1">
      <c r="A78" s="4" t="s">
        <v>192</v>
      </c>
      <c r="B78" s="5">
        <v>35.0</v>
      </c>
      <c r="C78" s="6" t="s">
        <v>10</v>
      </c>
      <c r="D78" s="6" t="s">
        <v>193</v>
      </c>
      <c r="E78" s="6" t="s">
        <v>12</v>
      </c>
      <c r="F78" s="6" t="s">
        <v>13</v>
      </c>
      <c r="G78" s="6" t="s">
        <v>14</v>
      </c>
      <c r="H78" s="7" t="s">
        <v>194</v>
      </c>
      <c r="I78" s="8">
        <f t="shared" si="1"/>
        <v>-35</v>
      </c>
    </row>
    <row r="79" ht="15.75" customHeight="1">
      <c r="A79" s="4" t="s">
        <v>192</v>
      </c>
      <c r="B79" s="5">
        <v>65.0</v>
      </c>
      <c r="C79" s="6" t="s">
        <v>10</v>
      </c>
      <c r="D79" s="6" t="s">
        <v>64</v>
      </c>
      <c r="E79" s="6" t="s">
        <v>12</v>
      </c>
      <c r="F79" s="6" t="s">
        <v>13</v>
      </c>
      <c r="G79" s="6" t="s">
        <v>14</v>
      </c>
      <c r="H79" s="7" t="s">
        <v>195</v>
      </c>
      <c r="I79" s="8">
        <f t="shared" si="1"/>
        <v>-65</v>
      </c>
    </row>
    <row r="80" ht="15.75" customHeight="1">
      <c r="A80" s="4" t="s">
        <v>196</v>
      </c>
      <c r="B80" s="5">
        <v>25.2</v>
      </c>
      <c r="C80" s="6" t="s">
        <v>10</v>
      </c>
      <c r="D80" s="6" t="s">
        <v>90</v>
      </c>
      <c r="E80" s="6" t="s">
        <v>12</v>
      </c>
      <c r="F80" s="6" t="s">
        <v>13</v>
      </c>
      <c r="G80" s="6" t="s">
        <v>14</v>
      </c>
      <c r="H80" s="7" t="s">
        <v>197</v>
      </c>
      <c r="I80" s="8">
        <f t="shared" si="1"/>
        <v>-25.2</v>
      </c>
    </row>
    <row r="81" ht="15.75" customHeight="1">
      <c r="A81" s="4" t="s">
        <v>198</v>
      </c>
      <c r="B81" s="5">
        <v>100.8</v>
      </c>
      <c r="C81" s="6" t="s">
        <v>10</v>
      </c>
      <c r="D81" s="6" t="s">
        <v>199</v>
      </c>
      <c r="E81" s="6" t="s">
        <v>12</v>
      </c>
      <c r="F81" s="6" t="s">
        <v>13</v>
      </c>
      <c r="G81" s="6" t="s">
        <v>14</v>
      </c>
      <c r="H81" s="7" t="s">
        <v>200</v>
      </c>
      <c r="I81" s="8">
        <f t="shared" si="1"/>
        <v>-100.8</v>
      </c>
    </row>
    <row r="82" ht="15.75" customHeight="1">
      <c r="A82" s="4" t="s">
        <v>201</v>
      </c>
      <c r="B82" s="5">
        <v>550.0</v>
      </c>
      <c r="C82" s="6" t="s">
        <v>10</v>
      </c>
      <c r="D82" s="6" t="s">
        <v>199</v>
      </c>
      <c r="E82" s="6" t="s">
        <v>12</v>
      </c>
      <c r="F82" s="6" t="s">
        <v>13</v>
      </c>
      <c r="G82" s="6" t="s">
        <v>14</v>
      </c>
      <c r="H82" s="7" t="s">
        <v>202</v>
      </c>
      <c r="I82" s="8">
        <f t="shared" si="1"/>
        <v>-550</v>
      </c>
    </row>
    <row r="83" ht="15.75" customHeight="1">
      <c r="A83" s="4" t="s">
        <v>201</v>
      </c>
      <c r="B83" s="5">
        <v>112.0</v>
      </c>
      <c r="C83" s="6" t="s">
        <v>10</v>
      </c>
      <c r="D83" s="6" t="s">
        <v>199</v>
      </c>
      <c r="E83" s="6" t="s">
        <v>20</v>
      </c>
      <c r="F83" s="6" t="s">
        <v>13</v>
      </c>
      <c r="G83" s="6" t="s">
        <v>14</v>
      </c>
      <c r="H83" s="7" t="s">
        <v>203</v>
      </c>
      <c r="I83" s="8">
        <f t="shared" si="1"/>
        <v>-112</v>
      </c>
    </row>
    <row r="84" ht="15.75" customHeight="1">
      <c r="A84" s="4" t="s">
        <v>204</v>
      </c>
      <c r="B84" s="5">
        <v>22.0</v>
      </c>
      <c r="C84" s="6" t="s">
        <v>10</v>
      </c>
      <c r="D84" s="6" t="s">
        <v>205</v>
      </c>
      <c r="E84" s="6" t="s">
        <v>12</v>
      </c>
      <c r="F84" s="6" t="s">
        <v>13</v>
      </c>
      <c r="G84" s="6" t="s">
        <v>14</v>
      </c>
      <c r="H84" s="7" t="s">
        <v>206</v>
      </c>
      <c r="I84" s="8">
        <f t="shared" si="1"/>
        <v>-22</v>
      </c>
    </row>
    <row r="85" ht="15.75" customHeight="1">
      <c r="A85" s="4" t="s">
        <v>207</v>
      </c>
      <c r="B85" s="5">
        <v>505.0</v>
      </c>
      <c r="C85" s="6" t="s">
        <v>10</v>
      </c>
      <c r="D85" s="6" t="s">
        <v>208</v>
      </c>
      <c r="E85" s="6" t="s">
        <v>12</v>
      </c>
      <c r="F85" s="6" t="s">
        <v>13</v>
      </c>
      <c r="G85" s="6" t="s">
        <v>14</v>
      </c>
      <c r="H85" s="7" t="s">
        <v>209</v>
      </c>
      <c r="I85" s="8">
        <f t="shared" si="1"/>
        <v>-505</v>
      </c>
    </row>
    <row r="86" ht="15.75" customHeight="1">
      <c r="A86" s="4" t="s">
        <v>207</v>
      </c>
      <c r="B86" s="5">
        <v>885.0</v>
      </c>
      <c r="C86" s="6" t="s">
        <v>10</v>
      </c>
      <c r="D86" s="6" t="s">
        <v>208</v>
      </c>
      <c r="E86" s="6" t="s">
        <v>12</v>
      </c>
      <c r="F86" s="6" t="s">
        <v>13</v>
      </c>
      <c r="G86" s="6" t="s">
        <v>14</v>
      </c>
      <c r="H86" s="7" t="s">
        <v>210</v>
      </c>
      <c r="I86" s="8">
        <f t="shared" si="1"/>
        <v>-885</v>
      </c>
    </row>
    <row r="87" ht="15.75" customHeight="1">
      <c r="A87" s="4" t="s">
        <v>211</v>
      </c>
      <c r="B87" s="5">
        <v>68.0</v>
      </c>
      <c r="C87" s="6" t="s">
        <v>10</v>
      </c>
      <c r="D87" s="6" t="s">
        <v>64</v>
      </c>
      <c r="E87" s="6" t="s">
        <v>12</v>
      </c>
      <c r="F87" s="6" t="s">
        <v>13</v>
      </c>
      <c r="G87" s="6" t="s">
        <v>14</v>
      </c>
      <c r="H87" s="7" t="s">
        <v>212</v>
      </c>
      <c r="I87" s="8">
        <f t="shared" si="1"/>
        <v>-68</v>
      </c>
    </row>
    <row r="88" ht="15.75" customHeight="1">
      <c r="A88" s="4" t="s">
        <v>213</v>
      </c>
      <c r="B88" s="5">
        <v>290.0</v>
      </c>
      <c r="C88" s="6" t="s">
        <v>10</v>
      </c>
      <c r="D88" s="6" t="s">
        <v>214</v>
      </c>
      <c r="E88" s="6" t="s">
        <v>12</v>
      </c>
      <c r="F88" s="6" t="s">
        <v>13</v>
      </c>
      <c r="G88" s="6" t="s">
        <v>14</v>
      </c>
      <c r="H88" s="7" t="s">
        <v>215</v>
      </c>
      <c r="I88" s="8">
        <f t="shared" si="1"/>
        <v>-290</v>
      </c>
    </row>
    <row r="89" ht="15.75" customHeight="1">
      <c r="A89" s="4" t="s">
        <v>216</v>
      </c>
      <c r="B89" s="5">
        <v>2410.0</v>
      </c>
      <c r="C89" s="6" t="s">
        <v>10</v>
      </c>
      <c r="D89" s="6" t="s">
        <v>217</v>
      </c>
      <c r="E89" s="6" t="s">
        <v>20</v>
      </c>
      <c r="F89" s="6" t="s">
        <v>13</v>
      </c>
      <c r="G89" s="6" t="s">
        <v>14</v>
      </c>
      <c r="H89" s="7" t="s">
        <v>218</v>
      </c>
      <c r="I89" s="8">
        <f t="shared" si="1"/>
        <v>-2410</v>
      </c>
    </row>
    <row r="90" ht="15.75" customHeight="1">
      <c r="A90" s="4" t="s">
        <v>216</v>
      </c>
      <c r="B90" s="5">
        <v>59.0</v>
      </c>
      <c r="C90" s="6" t="s">
        <v>10</v>
      </c>
      <c r="D90" s="6" t="s">
        <v>219</v>
      </c>
      <c r="E90" s="6" t="s">
        <v>12</v>
      </c>
      <c r="F90" s="6" t="s">
        <v>13</v>
      </c>
      <c r="G90" s="6" t="s">
        <v>14</v>
      </c>
      <c r="H90" s="7" t="s">
        <v>220</v>
      </c>
      <c r="I90" s="8">
        <f t="shared" si="1"/>
        <v>-59</v>
      </c>
    </row>
    <row r="91" ht="15.75" customHeight="1">
      <c r="A91" s="4" t="s">
        <v>221</v>
      </c>
      <c r="B91" s="5">
        <v>114.0</v>
      </c>
      <c r="C91" s="6" t="s">
        <v>10</v>
      </c>
      <c r="D91" s="6" t="s">
        <v>64</v>
      </c>
      <c r="E91" s="6" t="s">
        <v>12</v>
      </c>
      <c r="F91" s="6" t="s">
        <v>13</v>
      </c>
      <c r="G91" s="6" t="s">
        <v>14</v>
      </c>
      <c r="H91" s="7" t="s">
        <v>222</v>
      </c>
      <c r="I91" s="8">
        <f t="shared" si="1"/>
        <v>-114</v>
      </c>
    </row>
    <row r="92" ht="15.75" customHeight="1">
      <c r="A92" s="4" t="s">
        <v>221</v>
      </c>
      <c r="B92" s="5">
        <v>33.6</v>
      </c>
      <c r="C92" s="6" t="s">
        <v>103</v>
      </c>
      <c r="D92" s="6" t="s">
        <v>223</v>
      </c>
      <c r="E92" s="6" t="s">
        <v>12</v>
      </c>
      <c r="F92" s="6" t="s">
        <v>13</v>
      </c>
      <c r="G92" s="6" t="s">
        <v>14</v>
      </c>
      <c r="H92" s="7" t="s">
        <v>224</v>
      </c>
      <c r="I92" s="8">
        <f t="shared" si="1"/>
        <v>-33.6</v>
      </c>
    </row>
    <row r="93" ht="15.75" customHeight="1">
      <c r="A93" s="4" t="s">
        <v>225</v>
      </c>
      <c r="B93" s="5">
        <v>200.0</v>
      </c>
      <c r="C93" s="6" t="s">
        <v>10</v>
      </c>
      <c r="D93" s="6" t="s">
        <v>226</v>
      </c>
      <c r="E93" s="6" t="s">
        <v>38</v>
      </c>
      <c r="F93" s="6" t="s">
        <v>39</v>
      </c>
      <c r="G93" s="6" t="s">
        <v>40</v>
      </c>
      <c r="H93" s="7" t="s">
        <v>227</v>
      </c>
      <c r="I93" s="8">
        <f t="shared" si="1"/>
        <v>200</v>
      </c>
    </row>
    <row r="94" ht="15.75" customHeight="1">
      <c r="A94" s="4" t="s">
        <v>228</v>
      </c>
      <c r="B94" s="5">
        <v>200.0</v>
      </c>
      <c r="C94" s="6" t="s">
        <v>10</v>
      </c>
      <c r="D94" s="6" t="s">
        <v>229</v>
      </c>
      <c r="E94" s="6" t="s">
        <v>38</v>
      </c>
      <c r="F94" s="6" t="s">
        <v>39</v>
      </c>
      <c r="G94" s="6" t="s">
        <v>40</v>
      </c>
      <c r="H94" s="7" t="s">
        <v>230</v>
      </c>
      <c r="I94" s="8">
        <f t="shared" si="1"/>
        <v>200</v>
      </c>
    </row>
    <row r="95" ht="15.75" customHeight="1">
      <c r="A95" s="4" t="s">
        <v>228</v>
      </c>
      <c r="B95" s="5">
        <v>200.0</v>
      </c>
      <c r="C95" s="6" t="s">
        <v>10</v>
      </c>
      <c r="D95" s="6" t="s">
        <v>231</v>
      </c>
      <c r="E95" s="6" t="s">
        <v>38</v>
      </c>
      <c r="F95" s="6" t="s">
        <v>39</v>
      </c>
      <c r="G95" s="6" t="s">
        <v>40</v>
      </c>
      <c r="H95" s="7" t="s">
        <v>232</v>
      </c>
      <c r="I95" s="8">
        <f t="shared" si="1"/>
        <v>200</v>
      </c>
    </row>
    <row r="96" ht="15.75" customHeight="1">
      <c r="A96" s="4" t="s">
        <v>228</v>
      </c>
      <c r="B96" s="5">
        <v>200.0</v>
      </c>
      <c r="C96" s="6" t="s">
        <v>10</v>
      </c>
      <c r="D96" s="6" t="s">
        <v>231</v>
      </c>
      <c r="E96" s="6" t="s">
        <v>38</v>
      </c>
      <c r="F96" s="6" t="s">
        <v>39</v>
      </c>
      <c r="G96" s="6" t="s">
        <v>40</v>
      </c>
      <c r="H96" s="7" t="s">
        <v>233</v>
      </c>
      <c r="I96" s="8">
        <f t="shared" si="1"/>
        <v>200</v>
      </c>
    </row>
    <row r="97" ht="15.75" customHeight="1">
      <c r="A97" s="4" t="s">
        <v>234</v>
      </c>
      <c r="B97" s="5">
        <v>26.6</v>
      </c>
      <c r="C97" s="6" t="s">
        <v>10</v>
      </c>
      <c r="D97" s="6" t="s">
        <v>90</v>
      </c>
      <c r="E97" s="6" t="s">
        <v>12</v>
      </c>
      <c r="F97" s="6" t="s">
        <v>13</v>
      </c>
      <c r="G97" s="6" t="s">
        <v>14</v>
      </c>
      <c r="H97" s="7" t="s">
        <v>235</v>
      </c>
      <c r="I97" s="8">
        <f t="shared" si="1"/>
        <v>-26.6</v>
      </c>
    </row>
    <row r="98" ht="15.75" customHeight="1">
      <c r="A98" s="4" t="s">
        <v>236</v>
      </c>
      <c r="B98" s="5">
        <v>345.0</v>
      </c>
      <c r="C98" s="6" t="s">
        <v>10</v>
      </c>
      <c r="D98" s="6" t="s">
        <v>237</v>
      </c>
      <c r="E98" s="9" t="s">
        <v>142</v>
      </c>
      <c r="F98" s="6" t="s">
        <v>13</v>
      </c>
      <c r="G98" s="9" t="s">
        <v>142</v>
      </c>
      <c r="H98" s="7" t="s">
        <v>238</v>
      </c>
      <c r="I98" s="8">
        <f t="shared" si="1"/>
        <v>-345</v>
      </c>
    </row>
    <row r="99" ht="15.75" customHeight="1">
      <c r="A99" s="4" t="s">
        <v>236</v>
      </c>
      <c r="B99" s="5">
        <v>130.0</v>
      </c>
      <c r="C99" s="6" t="s">
        <v>10</v>
      </c>
      <c r="D99" s="6" t="s">
        <v>90</v>
      </c>
      <c r="E99" s="6" t="s">
        <v>12</v>
      </c>
      <c r="F99" s="6" t="s">
        <v>13</v>
      </c>
      <c r="G99" s="6" t="s">
        <v>14</v>
      </c>
      <c r="H99" s="7" t="s">
        <v>239</v>
      </c>
      <c r="I99" s="8">
        <f t="shared" si="1"/>
        <v>-130</v>
      </c>
    </row>
    <row r="100" ht="15.75" customHeight="1">
      <c r="A100" s="4" t="s">
        <v>236</v>
      </c>
      <c r="B100" s="5">
        <v>60.0</v>
      </c>
      <c r="C100" s="6" t="s">
        <v>103</v>
      </c>
      <c r="D100" s="6" t="s">
        <v>240</v>
      </c>
      <c r="E100" s="6" t="s">
        <v>12</v>
      </c>
      <c r="F100" s="6" t="s">
        <v>13</v>
      </c>
      <c r="G100" s="6" t="s">
        <v>14</v>
      </c>
      <c r="H100" s="7" t="s">
        <v>241</v>
      </c>
      <c r="I100" s="8">
        <f t="shared" si="1"/>
        <v>-60</v>
      </c>
    </row>
    <row r="101" ht="15.75" customHeight="1">
      <c r="A101" s="4" t="s">
        <v>242</v>
      </c>
      <c r="B101" s="5">
        <v>1.0</v>
      </c>
      <c r="C101" s="6" t="s">
        <v>103</v>
      </c>
      <c r="D101" s="6" t="s">
        <v>243</v>
      </c>
      <c r="E101" s="6" t="s">
        <v>12</v>
      </c>
      <c r="F101" s="6" t="s">
        <v>13</v>
      </c>
      <c r="G101" s="6" t="s">
        <v>14</v>
      </c>
      <c r="H101" s="7" t="s">
        <v>244</v>
      </c>
      <c r="I101" s="8">
        <f t="shared" si="1"/>
        <v>-1</v>
      </c>
    </row>
    <row r="102" ht="15.75" customHeight="1">
      <c r="A102" s="4" t="s">
        <v>245</v>
      </c>
      <c r="B102" s="5">
        <v>200.0</v>
      </c>
      <c r="C102" s="6" t="s">
        <v>10</v>
      </c>
      <c r="D102" s="6" t="s">
        <v>246</v>
      </c>
      <c r="E102" s="6" t="s">
        <v>38</v>
      </c>
      <c r="F102" s="6" t="s">
        <v>39</v>
      </c>
      <c r="G102" s="6" t="s">
        <v>40</v>
      </c>
      <c r="H102" s="7" t="s">
        <v>247</v>
      </c>
      <c r="I102" s="8">
        <f t="shared" si="1"/>
        <v>200</v>
      </c>
    </row>
    <row r="103" ht="15.75" customHeight="1">
      <c r="A103" s="4" t="s">
        <v>248</v>
      </c>
      <c r="B103" s="5">
        <v>20.0</v>
      </c>
      <c r="C103" s="6" t="s">
        <v>10</v>
      </c>
      <c r="D103" s="6" t="s">
        <v>249</v>
      </c>
      <c r="E103" s="6" t="s">
        <v>38</v>
      </c>
      <c r="F103" s="6" t="s">
        <v>39</v>
      </c>
      <c r="G103" s="6" t="s">
        <v>40</v>
      </c>
      <c r="H103" s="7" t="s">
        <v>250</v>
      </c>
      <c r="I103" s="8">
        <f t="shared" si="1"/>
        <v>20</v>
      </c>
    </row>
    <row r="104" ht="15.75" customHeight="1">
      <c r="A104" s="4" t="s">
        <v>248</v>
      </c>
      <c r="B104" s="5">
        <v>230.0</v>
      </c>
      <c r="C104" s="6" t="s">
        <v>10</v>
      </c>
      <c r="D104" s="6" t="s">
        <v>251</v>
      </c>
      <c r="E104" s="6" t="s">
        <v>38</v>
      </c>
      <c r="F104" s="6" t="s">
        <v>39</v>
      </c>
      <c r="G104" s="6" t="s">
        <v>40</v>
      </c>
      <c r="H104" s="7" t="s">
        <v>252</v>
      </c>
      <c r="I104" s="8">
        <f t="shared" si="1"/>
        <v>230</v>
      </c>
    </row>
    <row r="105" ht="15.75" customHeight="1">
      <c r="A105" s="4" t="s">
        <v>248</v>
      </c>
      <c r="B105" s="5">
        <v>180.0</v>
      </c>
      <c r="C105" s="6" t="s">
        <v>10</v>
      </c>
      <c r="D105" s="6" t="s">
        <v>249</v>
      </c>
      <c r="E105" s="6" t="s">
        <v>38</v>
      </c>
      <c r="F105" s="6" t="s">
        <v>39</v>
      </c>
      <c r="G105" s="6" t="s">
        <v>40</v>
      </c>
      <c r="H105" s="7" t="s">
        <v>253</v>
      </c>
      <c r="I105" s="8">
        <f t="shared" si="1"/>
        <v>180</v>
      </c>
    </row>
    <row r="106" ht="15.75" customHeight="1">
      <c r="A106" s="4" t="s">
        <v>248</v>
      </c>
      <c r="B106" s="5">
        <v>200.0</v>
      </c>
      <c r="C106" s="6" t="s">
        <v>10</v>
      </c>
      <c r="D106" s="6" t="s">
        <v>254</v>
      </c>
      <c r="E106" s="6" t="s">
        <v>38</v>
      </c>
      <c r="F106" s="6" t="s">
        <v>39</v>
      </c>
      <c r="G106" s="6" t="s">
        <v>40</v>
      </c>
      <c r="H106" s="7" t="s">
        <v>255</v>
      </c>
      <c r="I106" s="8">
        <f t="shared" si="1"/>
        <v>200</v>
      </c>
    </row>
    <row r="107" ht="15.75" customHeight="1">
      <c r="A107" s="4" t="s">
        <v>248</v>
      </c>
      <c r="B107" s="5">
        <v>230.0</v>
      </c>
      <c r="C107" s="6" t="s">
        <v>10</v>
      </c>
      <c r="D107" s="6" t="s">
        <v>256</v>
      </c>
      <c r="E107" s="6" t="s">
        <v>38</v>
      </c>
      <c r="F107" s="6" t="s">
        <v>39</v>
      </c>
      <c r="G107" s="6" t="s">
        <v>40</v>
      </c>
      <c r="H107" s="7" t="s">
        <v>257</v>
      </c>
      <c r="I107" s="8">
        <f t="shared" si="1"/>
        <v>230</v>
      </c>
    </row>
    <row r="108" ht="15.75" customHeight="1">
      <c r="A108" s="4" t="s">
        <v>258</v>
      </c>
      <c r="B108" s="5">
        <v>22.0</v>
      </c>
      <c r="C108" s="6" t="s">
        <v>10</v>
      </c>
      <c r="D108" s="6" t="s">
        <v>82</v>
      </c>
      <c r="E108" s="6" t="s">
        <v>12</v>
      </c>
      <c r="F108" s="6" t="s">
        <v>13</v>
      </c>
      <c r="G108" s="6" t="s">
        <v>14</v>
      </c>
      <c r="H108" s="7" t="s">
        <v>259</v>
      </c>
      <c r="I108" s="8">
        <f t="shared" si="1"/>
        <v>-22</v>
      </c>
    </row>
    <row r="109" ht="15.75" customHeight="1">
      <c r="A109" s="4" t="s">
        <v>260</v>
      </c>
      <c r="B109" s="5">
        <v>20.0</v>
      </c>
      <c r="C109" s="6" t="s">
        <v>103</v>
      </c>
      <c r="D109" s="6" t="s">
        <v>106</v>
      </c>
      <c r="E109" s="6" t="s">
        <v>20</v>
      </c>
      <c r="F109" s="6" t="s">
        <v>13</v>
      </c>
      <c r="G109" s="6" t="s">
        <v>14</v>
      </c>
      <c r="H109" s="7" t="s">
        <v>261</v>
      </c>
      <c r="I109" s="8">
        <f t="shared" si="1"/>
        <v>-20</v>
      </c>
    </row>
    <row r="110" ht="15.75" customHeight="1">
      <c r="A110" s="4" t="s">
        <v>262</v>
      </c>
      <c r="B110" s="5">
        <v>40.0</v>
      </c>
      <c r="C110" s="6" t="s">
        <v>10</v>
      </c>
      <c r="D110" s="6" t="s">
        <v>229</v>
      </c>
      <c r="E110" s="6" t="s">
        <v>38</v>
      </c>
      <c r="F110" s="6" t="s">
        <v>39</v>
      </c>
      <c r="G110" s="6" t="s">
        <v>40</v>
      </c>
      <c r="H110" s="7" t="s">
        <v>263</v>
      </c>
      <c r="I110" s="8">
        <f t="shared" si="1"/>
        <v>40</v>
      </c>
    </row>
    <row r="111" ht="15.75" customHeight="1">
      <c r="A111" s="4" t="s">
        <v>262</v>
      </c>
      <c r="B111" s="5">
        <v>35.0</v>
      </c>
      <c r="C111" s="6" t="s">
        <v>10</v>
      </c>
      <c r="D111" s="6" t="s">
        <v>249</v>
      </c>
      <c r="E111" s="6" t="s">
        <v>38</v>
      </c>
      <c r="F111" s="6" t="s">
        <v>39</v>
      </c>
      <c r="G111" s="6" t="s">
        <v>40</v>
      </c>
      <c r="H111" s="7" t="s">
        <v>264</v>
      </c>
      <c r="I111" s="8">
        <f t="shared" si="1"/>
        <v>35</v>
      </c>
    </row>
    <row r="112" ht="15.75" customHeight="1">
      <c r="A112" s="4" t="s">
        <v>265</v>
      </c>
      <c r="B112" s="5">
        <v>220.1</v>
      </c>
      <c r="C112" s="6" t="s">
        <v>10</v>
      </c>
      <c r="D112" s="6" t="s">
        <v>90</v>
      </c>
      <c r="E112" s="6" t="s">
        <v>20</v>
      </c>
      <c r="F112" s="6" t="s">
        <v>13</v>
      </c>
      <c r="G112" s="6" t="s">
        <v>14</v>
      </c>
      <c r="H112" s="7" t="s">
        <v>266</v>
      </c>
      <c r="I112" s="8">
        <f t="shared" si="1"/>
        <v>-220.1</v>
      </c>
    </row>
    <row r="113" ht="15.75" customHeight="1">
      <c r="A113" s="4" t="s">
        <v>265</v>
      </c>
      <c r="B113" s="5">
        <v>83.0</v>
      </c>
      <c r="C113" s="6" t="s">
        <v>10</v>
      </c>
      <c r="D113" s="6" t="s">
        <v>246</v>
      </c>
      <c r="E113" s="6" t="s">
        <v>38</v>
      </c>
      <c r="F113" s="6" t="s">
        <v>39</v>
      </c>
      <c r="G113" s="6" t="s">
        <v>40</v>
      </c>
      <c r="H113" s="7" t="s">
        <v>267</v>
      </c>
      <c r="I113" s="8">
        <f t="shared" si="1"/>
        <v>83</v>
      </c>
    </row>
    <row r="114" ht="15.75" customHeight="1">
      <c r="A114" s="4" t="s">
        <v>268</v>
      </c>
      <c r="B114" s="5">
        <v>21.0</v>
      </c>
      <c r="C114" s="6" t="s">
        <v>10</v>
      </c>
      <c r="D114" s="6" t="s">
        <v>82</v>
      </c>
      <c r="E114" s="6" t="s">
        <v>12</v>
      </c>
      <c r="F114" s="6" t="s">
        <v>13</v>
      </c>
      <c r="G114" s="6" t="s">
        <v>14</v>
      </c>
      <c r="H114" s="7" t="s">
        <v>269</v>
      </c>
      <c r="I114" s="8">
        <f t="shared" si="1"/>
        <v>-21</v>
      </c>
    </row>
    <row r="115" ht="15.75" customHeight="1">
      <c r="A115" s="4" t="s">
        <v>270</v>
      </c>
      <c r="B115" s="5">
        <v>17.96</v>
      </c>
      <c r="C115" s="6" t="s">
        <v>10</v>
      </c>
      <c r="D115" s="6" t="s">
        <v>58</v>
      </c>
      <c r="E115" s="6" t="s">
        <v>12</v>
      </c>
      <c r="F115" s="6" t="s">
        <v>13</v>
      </c>
      <c r="G115" s="6" t="s">
        <v>14</v>
      </c>
      <c r="H115" s="7" t="s">
        <v>271</v>
      </c>
      <c r="I115" s="8">
        <f t="shared" si="1"/>
        <v>-17.96</v>
      </c>
    </row>
    <row r="116" ht="15.75" customHeight="1">
      <c r="A116" s="4" t="s">
        <v>270</v>
      </c>
      <c r="B116" s="5">
        <v>1537.0</v>
      </c>
      <c r="C116" s="6" t="s">
        <v>10</v>
      </c>
      <c r="D116" s="6" t="s">
        <v>272</v>
      </c>
      <c r="E116" s="6" t="s">
        <v>20</v>
      </c>
      <c r="F116" s="6" t="s">
        <v>13</v>
      </c>
      <c r="G116" s="6" t="s">
        <v>14</v>
      </c>
      <c r="H116" s="7" t="s">
        <v>273</v>
      </c>
      <c r="I116" s="8">
        <f t="shared" si="1"/>
        <v>-1537</v>
      </c>
    </row>
    <row r="117" ht="15.75" customHeight="1">
      <c r="A117" s="4" t="s">
        <v>270</v>
      </c>
      <c r="B117" s="5">
        <v>700.0</v>
      </c>
      <c r="C117" s="6" t="s">
        <v>10</v>
      </c>
      <c r="D117" s="6" t="s">
        <v>231</v>
      </c>
      <c r="E117" s="6" t="s">
        <v>38</v>
      </c>
      <c r="F117" s="6" t="s">
        <v>39</v>
      </c>
      <c r="G117" s="6" t="s">
        <v>40</v>
      </c>
      <c r="H117" s="7" t="s">
        <v>274</v>
      </c>
      <c r="I117" s="8">
        <f t="shared" si="1"/>
        <v>700</v>
      </c>
    </row>
    <row r="118" ht="15.75" customHeight="1">
      <c r="A118" s="4" t="s">
        <v>275</v>
      </c>
      <c r="B118" s="5">
        <v>42.0</v>
      </c>
      <c r="C118" s="6" t="s">
        <v>10</v>
      </c>
      <c r="D118" s="6" t="s">
        <v>82</v>
      </c>
      <c r="E118" s="6" t="s">
        <v>12</v>
      </c>
      <c r="F118" s="6" t="s">
        <v>13</v>
      </c>
      <c r="G118" s="6" t="s">
        <v>14</v>
      </c>
      <c r="H118" s="7" t="s">
        <v>276</v>
      </c>
      <c r="I118" s="8">
        <f t="shared" si="1"/>
        <v>-42</v>
      </c>
    </row>
    <row r="119" ht="15.75" customHeight="1">
      <c r="A119" s="4" t="s">
        <v>277</v>
      </c>
      <c r="B119" s="5">
        <v>89.0</v>
      </c>
      <c r="C119" s="6" t="s">
        <v>10</v>
      </c>
      <c r="D119" s="6" t="s">
        <v>278</v>
      </c>
      <c r="E119" s="6" t="s">
        <v>20</v>
      </c>
      <c r="F119" s="6" t="s">
        <v>13</v>
      </c>
      <c r="G119" s="6" t="s">
        <v>14</v>
      </c>
      <c r="H119" s="7" t="s">
        <v>279</v>
      </c>
      <c r="I119" s="8">
        <f t="shared" si="1"/>
        <v>-89</v>
      </c>
    </row>
    <row r="120" ht="15.75" customHeight="1">
      <c r="A120" s="4" t="s">
        <v>277</v>
      </c>
      <c r="B120" s="5">
        <v>5.0</v>
      </c>
      <c r="C120" s="6" t="s">
        <v>10</v>
      </c>
      <c r="D120" s="6" t="s">
        <v>280</v>
      </c>
      <c r="E120" s="6" t="s">
        <v>20</v>
      </c>
      <c r="F120" s="6" t="s">
        <v>13</v>
      </c>
      <c r="G120" s="6" t="s">
        <v>14</v>
      </c>
      <c r="H120" s="7" t="s">
        <v>281</v>
      </c>
      <c r="I120" s="8">
        <f t="shared" si="1"/>
        <v>-5</v>
      </c>
    </row>
    <row r="121" ht="15.75" customHeight="1">
      <c r="A121" s="4" t="s">
        <v>282</v>
      </c>
      <c r="B121" s="5">
        <v>110.0</v>
      </c>
      <c r="C121" s="6" t="s">
        <v>10</v>
      </c>
      <c r="D121" s="6" t="s">
        <v>283</v>
      </c>
      <c r="E121" s="6" t="s">
        <v>20</v>
      </c>
      <c r="F121" s="6" t="s">
        <v>13</v>
      </c>
      <c r="G121" s="6" t="s">
        <v>14</v>
      </c>
      <c r="H121" s="7" t="s">
        <v>284</v>
      </c>
      <c r="I121" s="8">
        <f t="shared" si="1"/>
        <v>-110</v>
      </c>
    </row>
    <row r="122" ht="15.75" customHeight="1">
      <c r="A122" s="4" t="s">
        <v>285</v>
      </c>
      <c r="B122" s="5">
        <v>30.0</v>
      </c>
      <c r="C122" s="6" t="s">
        <v>10</v>
      </c>
      <c r="D122" s="6" t="s">
        <v>254</v>
      </c>
      <c r="E122" s="6" t="s">
        <v>38</v>
      </c>
      <c r="F122" s="6" t="s">
        <v>39</v>
      </c>
      <c r="G122" s="6" t="s">
        <v>40</v>
      </c>
      <c r="H122" s="7" t="s">
        <v>286</v>
      </c>
      <c r="I122" s="8">
        <f t="shared" si="1"/>
        <v>30</v>
      </c>
    </row>
    <row r="123" ht="15.75" customHeight="1">
      <c r="A123" s="4" t="s">
        <v>287</v>
      </c>
      <c r="B123" s="5">
        <v>85.9</v>
      </c>
      <c r="C123" s="6" t="s">
        <v>10</v>
      </c>
      <c r="D123" s="6" t="s">
        <v>90</v>
      </c>
      <c r="E123" s="6" t="s">
        <v>12</v>
      </c>
      <c r="F123" s="6" t="s">
        <v>13</v>
      </c>
      <c r="G123" s="6" t="s">
        <v>14</v>
      </c>
      <c r="H123" s="7" t="s">
        <v>288</v>
      </c>
      <c r="I123" s="8">
        <f t="shared" si="1"/>
        <v>-85.9</v>
      </c>
    </row>
    <row r="124" ht="15.75" customHeight="1">
      <c r="A124" s="4" t="s">
        <v>287</v>
      </c>
      <c r="B124" s="5">
        <v>30.0</v>
      </c>
      <c r="C124" s="6" t="s">
        <v>10</v>
      </c>
      <c r="D124" s="6" t="s">
        <v>249</v>
      </c>
      <c r="E124" s="6" t="s">
        <v>38</v>
      </c>
      <c r="F124" s="6" t="s">
        <v>39</v>
      </c>
      <c r="G124" s="6" t="s">
        <v>40</v>
      </c>
      <c r="H124" s="7" t="s">
        <v>289</v>
      </c>
      <c r="I124" s="8">
        <f t="shared" si="1"/>
        <v>30</v>
      </c>
    </row>
    <row r="125" ht="15.75" customHeight="1">
      <c r="A125" s="4" t="s">
        <v>290</v>
      </c>
      <c r="B125" s="5">
        <v>16.32</v>
      </c>
      <c r="C125" s="6" t="s">
        <v>103</v>
      </c>
      <c r="D125" s="6" t="s">
        <v>291</v>
      </c>
      <c r="E125" s="6" t="s">
        <v>12</v>
      </c>
      <c r="F125" s="6" t="s">
        <v>13</v>
      </c>
      <c r="G125" s="6" t="s">
        <v>14</v>
      </c>
      <c r="H125" s="7" t="s">
        <v>292</v>
      </c>
      <c r="I125" s="8">
        <f t="shared" si="1"/>
        <v>-16.32</v>
      </c>
    </row>
    <row r="126" ht="15.75" customHeight="1">
      <c r="A126" s="4" t="s">
        <v>290</v>
      </c>
      <c r="B126" s="5">
        <v>60.0</v>
      </c>
      <c r="C126" s="6" t="s">
        <v>10</v>
      </c>
      <c r="D126" s="6" t="s">
        <v>64</v>
      </c>
      <c r="E126" s="6" t="s">
        <v>20</v>
      </c>
      <c r="F126" s="6" t="s">
        <v>13</v>
      </c>
      <c r="G126" s="6" t="s">
        <v>14</v>
      </c>
      <c r="H126" s="7" t="s">
        <v>293</v>
      </c>
      <c r="I126" s="8">
        <f t="shared" si="1"/>
        <v>-60</v>
      </c>
    </row>
    <row r="127" ht="15.75" customHeight="1">
      <c r="A127" s="4" t="s">
        <v>294</v>
      </c>
      <c r="B127" s="5">
        <v>137.5</v>
      </c>
      <c r="C127" s="6" t="s">
        <v>10</v>
      </c>
      <c r="D127" s="6" t="s">
        <v>64</v>
      </c>
      <c r="E127" s="6" t="s">
        <v>12</v>
      </c>
      <c r="F127" s="6" t="s">
        <v>13</v>
      </c>
      <c r="G127" s="6" t="s">
        <v>14</v>
      </c>
      <c r="H127" s="7" t="s">
        <v>295</v>
      </c>
      <c r="I127" s="8">
        <f t="shared" si="1"/>
        <v>-137.5</v>
      </c>
    </row>
    <row r="128" ht="15.75" customHeight="1">
      <c r="A128" s="4" t="s">
        <v>296</v>
      </c>
      <c r="B128" s="5">
        <v>79.0</v>
      </c>
      <c r="C128" s="6" t="s">
        <v>10</v>
      </c>
      <c r="D128" s="6" t="s">
        <v>90</v>
      </c>
      <c r="E128" s="6" t="s">
        <v>20</v>
      </c>
      <c r="F128" s="6" t="s">
        <v>13</v>
      </c>
      <c r="G128" s="6" t="s">
        <v>14</v>
      </c>
      <c r="H128" s="7" t="s">
        <v>297</v>
      </c>
      <c r="I128" s="8">
        <f t="shared" si="1"/>
        <v>-79</v>
      </c>
    </row>
    <row r="129" ht="15.75" customHeight="1">
      <c r="A129" s="4" t="s">
        <v>298</v>
      </c>
      <c r="B129" s="5">
        <v>309.0</v>
      </c>
      <c r="C129" s="6" t="s">
        <v>10</v>
      </c>
      <c r="D129" s="6" t="s">
        <v>299</v>
      </c>
      <c r="E129" s="6" t="s">
        <v>20</v>
      </c>
      <c r="F129" s="6" t="s">
        <v>13</v>
      </c>
      <c r="G129" s="6" t="s">
        <v>14</v>
      </c>
      <c r="H129" s="7" t="s">
        <v>300</v>
      </c>
      <c r="I129" s="8">
        <f t="shared" si="1"/>
        <v>-309</v>
      </c>
    </row>
    <row r="130" ht="15.75" customHeight="1">
      <c r="A130" s="4" t="s">
        <v>301</v>
      </c>
      <c r="B130" s="5">
        <v>70.9</v>
      </c>
      <c r="C130" s="6" t="s">
        <v>10</v>
      </c>
      <c r="D130" s="6" t="s">
        <v>90</v>
      </c>
      <c r="E130" s="6" t="s">
        <v>12</v>
      </c>
      <c r="F130" s="6" t="s">
        <v>13</v>
      </c>
      <c r="G130" s="6" t="s">
        <v>14</v>
      </c>
      <c r="H130" s="7" t="s">
        <v>302</v>
      </c>
      <c r="I130" s="8">
        <f t="shared" si="1"/>
        <v>-70.9</v>
      </c>
    </row>
    <row r="131" ht="15.75" customHeight="1">
      <c r="A131" s="4" t="s">
        <v>303</v>
      </c>
      <c r="B131" s="5">
        <v>500.0</v>
      </c>
      <c r="C131" s="6" t="s">
        <v>10</v>
      </c>
      <c r="D131" s="6" t="s">
        <v>304</v>
      </c>
      <c r="E131" s="6" t="s">
        <v>20</v>
      </c>
      <c r="F131" s="6" t="s">
        <v>13</v>
      </c>
      <c r="G131" s="6" t="s">
        <v>14</v>
      </c>
      <c r="H131" s="7" t="s">
        <v>305</v>
      </c>
      <c r="I131" s="8">
        <f t="shared" si="1"/>
        <v>-500</v>
      </c>
    </row>
    <row r="132" ht="15.75" customHeight="1">
      <c r="A132" s="4" t="s">
        <v>303</v>
      </c>
      <c r="B132" s="5">
        <v>283.0</v>
      </c>
      <c r="C132" s="6" t="s">
        <v>10</v>
      </c>
      <c r="D132" s="6" t="s">
        <v>306</v>
      </c>
      <c r="E132" s="6" t="s">
        <v>20</v>
      </c>
      <c r="F132" s="6" t="s">
        <v>13</v>
      </c>
      <c r="G132" s="6" t="s">
        <v>14</v>
      </c>
      <c r="H132" s="7" t="s">
        <v>307</v>
      </c>
      <c r="I132" s="8">
        <f t="shared" si="1"/>
        <v>-283</v>
      </c>
    </row>
    <row r="133" ht="15.75" customHeight="1">
      <c r="A133" s="4" t="s">
        <v>303</v>
      </c>
      <c r="B133" s="5">
        <v>60.0</v>
      </c>
      <c r="C133" s="6" t="s">
        <v>10</v>
      </c>
      <c r="D133" s="6" t="s">
        <v>308</v>
      </c>
      <c r="E133" s="6" t="s">
        <v>20</v>
      </c>
      <c r="F133" s="6" t="s">
        <v>13</v>
      </c>
      <c r="G133" s="6" t="s">
        <v>14</v>
      </c>
      <c r="H133" s="7" t="s">
        <v>309</v>
      </c>
      <c r="I133" s="8">
        <f t="shared" si="1"/>
        <v>-60</v>
      </c>
    </row>
    <row r="134" ht="15.75" customHeight="1">
      <c r="A134" s="4" t="s">
        <v>303</v>
      </c>
      <c r="B134" s="5">
        <v>7.94</v>
      </c>
      <c r="C134" s="6" t="s">
        <v>10</v>
      </c>
      <c r="D134" s="6" t="s">
        <v>58</v>
      </c>
      <c r="E134" s="6" t="s">
        <v>12</v>
      </c>
      <c r="F134" s="6" t="s">
        <v>13</v>
      </c>
      <c r="G134" s="6" t="s">
        <v>14</v>
      </c>
      <c r="H134" s="7" t="s">
        <v>310</v>
      </c>
      <c r="I134" s="8">
        <f t="shared" si="1"/>
        <v>-7.94</v>
      </c>
    </row>
    <row r="135" ht="15.75" customHeight="1">
      <c r="A135" s="4" t="s">
        <v>303</v>
      </c>
      <c r="B135" s="5">
        <v>23.5</v>
      </c>
      <c r="C135" s="6" t="s">
        <v>10</v>
      </c>
      <c r="D135" s="6" t="s">
        <v>90</v>
      </c>
      <c r="E135" s="6" t="s">
        <v>20</v>
      </c>
      <c r="F135" s="6" t="s">
        <v>13</v>
      </c>
      <c r="G135" s="6" t="s">
        <v>14</v>
      </c>
      <c r="H135" s="7" t="s">
        <v>311</v>
      </c>
      <c r="I135" s="8">
        <f t="shared" si="1"/>
        <v>-23.5</v>
      </c>
    </row>
    <row r="136" ht="15.75" customHeight="1">
      <c r="A136" s="4" t="s">
        <v>303</v>
      </c>
      <c r="B136" s="5">
        <v>569.0</v>
      </c>
      <c r="C136" s="6" t="s">
        <v>10</v>
      </c>
      <c r="D136" s="6" t="s">
        <v>312</v>
      </c>
      <c r="E136" s="6" t="s">
        <v>20</v>
      </c>
      <c r="F136" s="6" t="s">
        <v>13</v>
      </c>
      <c r="G136" s="6" t="s">
        <v>14</v>
      </c>
      <c r="H136" s="7" t="s">
        <v>313</v>
      </c>
      <c r="I136" s="8">
        <f t="shared" si="1"/>
        <v>-569</v>
      </c>
    </row>
    <row r="137" ht="15.75" customHeight="1">
      <c r="A137" s="4" t="s">
        <v>314</v>
      </c>
      <c r="B137" s="5">
        <v>64.0</v>
      </c>
      <c r="C137" s="6" t="s">
        <v>103</v>
      </c>
      <c r="D137" s="6" t="s">
        <v>315</v>
      </c>
      <c r="E137" s="6" t="s">
        <v>12</v>
      </c>
      <c r="F137" s="6" t="s">
        <v>13</v>
      </c>
      <c r="G137" s="6" t="s">
        <v>14</v>
      </c>
      <c r="H137" s="7" t="s">
        <v>316</v>
      </c>
      <c r="I137" s="8">
        <f t="shared" si="1"/>
        <v>-64</v>
      </c>
    </row>
    <row r="138" ht="15.75" customHeight="1">
      <c r="A138" s="4" t="s">
        <v>314</v>
      </c>
      <c r="B138" s="5">
        <v>12.5</v>
      </c>
      <c r="C138" s="6" t="s">
        <v>103</v>
      </c>
      <c r="D138" s="6" t="s">
        <v>317</v>
      </c>
      <c r="E138" s="6" t="s">
        <v>12</v>
      </c>
      <c r="F138" s="6" t="s">
        <v>13</v>
      </c>
      <c r="G138" s="6" t="s">
        <v>14</v>
      </c>
      <c r="H138" s="7" t="s">
        <v>318</v>
      </c>
      <c r="I138" s="8">
        <f t="shared" si="1"/>
        <v>-12.5</v>
      </c>
    </row>
    <row r="139" ht="15.75" customHeight="1">
      <c r="A139" s="4" t="s">
        <v>314</v>
      </c>
      <c r="B139" s="5">
        <v>9.0</v>
      </c>
      <c r="C139" s="6" t="s">
        <v>103</v>
      </c>
      <c r="D139" s="6" t="s">
        <v>319</v>
      </c>
      <c r="E139" s="6" t="s">
        <v>12</v>
      </c>
      <c r="F139" s="6" t="s">
        <v>13</v>
      </c>
      <c r="G139" s="6" t="s">
        <v>14</v>
      </c>
      <c r="H139" s="7" t="s">
        <v>320</v>
      </c>
      <c r="I139" s="8">
        <f t="shared" si="1"/>
        <v>-9</v>
      </c>
    </row>
    <row r="140" ht="15.75" customHeight="1">
      <c r="A140" s="4" t="s">
        <v>321</v>
      </c>
      <c r="B140" s="5">
        <v>14.0</v>
      </c>
      <c r="C140" s="6" t="s">
        <v>103</v>
      </c>
      <c r="D140" s="6" t="s">
        <v>322</v>
      </c>
      <c r="E140" s="6" t="s">
        <v>20</v>
      </c>
      <c r="F140" s="6" t="s">
        <v>13</v>
      </c>
      <c r="G140" s="6" t="s">
        <v>14</v>
      </c>
      <c r="H140" s="7" t="s">
        <v>323</v>
      </c>
      <c r="I140" s="8">
        <f t="shared" si="1"/>
        <v>-14</v>
      </c>
    </row>
    <row r="141" ht="15.75" customHeight="1">
      <c r="A141" s="4" t="s">
        <v>321</v>
      </c>
      <c r="B141" s="5">
        <v>18.0</v>
      </c>
      <c r="C141" s="6" t="s">
        <v>103</v>
      </c>
      <c r="D141" s="6" t="s">
        <v>324</v>
      </c>
      <c r="E141" s="6" t="s">
        <v>20</v>
      </c>
      <c r="F141" s="6" t="s">
        <v>13</v>
      </c>
      <c r="G141" s="6" t="s">
        <v>14</v>
      </c>
      <c r="H141" s="7" t="s">
        <v>325</v>
      </c>
      <c r="I141" s="8">
        <f t="shared" si="1"/>
        <v>-18</v>
      </c>
    </row>
    <row r="142" ht="15.75" customHeight="1">
      <c r="A142" s="4" t="s">
        <v>321</v>
      </c>
      <c r="B142" s="5">
        <v>16.0</v>
      </c>
      <c r="C142" s="6" t="s">
        <v>103</v>
      </c>
      <c r="D142" s="6" t="s">
        <v>324</v>
      </c>
      <c r="E142" s="6" t="s">
        <v>20</v>
      </c>
      <c r="F142" s="6" t="s">
        <v>13</v>
      </c>
      <c r="G142" s="6" t="s">
        <v>14</v>
      </c>
      <c r="H142" s="7" t="s">
        <v>326</v>
      </c>
      <c r="I142" s="8">
        <f t="shared" si="1"/>
        <v>-16</v>
      </c>
    </row>
    <row r="143" ht="15.75" customHeight="1">
      <c r="A143" s="4" t="s">
        <v>321</v>
      </c>
      <c r="B143" s="5">
        <v>35.0</v>
      </c>
      <c r="C143" s="6" t="s">
        <v>103</v>
      </c>
      <c r="D143" s="6" t="s">
        <v>324</v>
      </c>
      <c r="E143" s="6" t="s">
        <v>20</v>
      </c>
      <c r="F143" s="6" t="s">
        <v>13</v>
      </c>
      <c r="G143" s="6" t="s">
        <v>14</v>
      </c>
      <c r="H143" s="7" t="s">
        <v>327</v>
      </c>
      <c r="I143" s="8">
        <f t="shared" si="1"/>
        <v>-35</v>
      </c>
    </row>
    <row r="144" ht="15.75" customHeight="1">
      <c r="A144" s="4" t="s">
        <v>321</v>
      </c>
      <c r="B144" s="5">
        <v>25.0</v>
      </c>
      <c r="C144" s="6" t="s">
        <v>103</v>
      </c>
      <c r="D144" s="6" t="s">
        <v>324</v>
      </c>
      <c r="E144" s="6" t="s">
        <v>20</v>
      </c>
      <c r="F144" s="6" t="s">
        <v>13</v>
      </c>
      <c r="G144" s="6" t="s">
        <v>14</v>
      </c>
      <c r="H144" s="7" t="s">
        <v>328</v>
      </c>
      <c r="I144" s="8">
        <f t="shared" si="1"/>
        <v>-25</v>
      </c>
    </row>
    <row r="145" ht="15.75" customHeight="1">
      <c r="A145" s="4" t="s">
        <v>329</v>
      </c>
      <c r="B145" s="5">
        <v>700.0</v>
      </c>
      <c r="C145" s="6" t="s">
        <v>10</v>
      </c>
      <c r="D145" s="6" t="s">
        <v>330</v>
      </c>
      <c r="E145" s="6" t="s">
        <v>38</v>
      </c>
      <c r="F145" s="6" t="s">
        <v>13</v>
      </c>
      <c r="G145" s="6" t="s">
        <v>331</v>
      </c>
      <c r="H145" s="7" t="s">
        <v>332</v>
      </c>
      <c r="I145" s="8">
        <f t="shared" si="1"/>
        <v>-700</v>
      </c>
    </row>
    <row r="146" ht="15.75" customHeight="1">
      <c r="A146" s="4" t="s">
        <v>333</v>
      </c>
      <c r="B146" s="5">
        <v>14.5</v>
      </c>
      <c r="C146" s="6" t="s">
        <v>103</v>
      </c>
      <c r="D146" s="6" t="s">
        <v>334</v>
      </c>
      <c r="E146" s="6" t="s">
        <v>12</v>
      </c>
      <c r="F146" s="6" t="s">
        <v>13</v>
      </c>
      <c r="G146" s="6" t="s">
        <v>14</v>
      </c>
      <c r="H146" s="7" t="s">
        <v>335</v>
      </c>
      <c r="I146" s="8">
        <f t="shared" si="1"/>
        <v>-14.5</v>
      </c>
    </row>
    <row r="147" ht="15.75" customHeight="1">
      <c r="A147" s="4" t="s">
        <v>333</v>
      </c>
      <c r="B147" s="5">
        <v>122.0</v>
      </c>
      <c r="C147" s="6" t="s">
        <v>103</v>
      </c>
      <c r="D147" s="6" t="s">
        <v>336</v>
      </c>
      <c r="E147" s="6" t="s">
        <v>20</v>
      </c>
      <c r="F147" s="6" t="s">
        <v>13</v>
      </c>
      <c r="G147" s="6" t="s">
        <v>14</v>
      </c>
      <c r="H147" s="7" t="s">
        <v>337</v>
      </c>
      <c r="I147" s="8">
        <f t="shared" si="1"/>
        <v>-122</v>
      </c>
    </row>
    <row r="148" ht="15.75" customHeight="1">
      <c r="A148" s="4" t="s">
        <v>333</v>
      </c>
      <c r="B148" s="5">
        <v>36.77</v>
      </c>
      <c r="C148" s="6" t="s">
        <v>10</v>
      </c>
      <c r="D148" s="6" t="s">
        <v>43</v>
      </c>
      <c r="E148" s="6" t="s">
        <v>20</v>
      </c>
      <c r="F148" s="6" t="s">
        <v>13</v>
      </c>
      <c r="G148" s="6" t="s">
        <v>14</v>
      </c>
      <c r="H148" s="7" t="s">
        <v>338</v>
      </c>
      <c r="I148" s="8">
        <f t="shared" si="1"/>
        <v>-36.77</v>
      </c>
    </row>
    <row r="149" ht="15.75" customHeight="1">
      <c r="A149" s="4" t="s">
        <v>339</v>
      </c>
      <c r="B149" s="5">
        <v>1450.0</v>
      </c>
      <c r="C149" s="6" t="s">
        <v>10</v>
      </c>
      <c r="D149" s="6" t="s">
        <v>340</v>
      </c>
      <c r="E149" s="6" t="s">
        <v>38</v>
      </c>
      <c r="F149" s="6" t="s">
        <v>13</v>
      </c>
      <c r="G149" s="6" t="s">
        <v>331</v>
      </c>
      <c r="H149" s="7" t="s">
        <v>341</v>
      </c>
      <c r="I149" s="8">
        <f t="shared" si="1"/>
        <v>-1450</v>
      </c>
    </row>
    <row r="150" ht="15.75" customHeight="1">
      <c r="A150" s="4" t="s">
        <v>339</v>
      </c>
      <c r="B150" s="5">
        <v>40.0</v>
      </c>
      <c r="C150" s="6" t="s">
        <v>10</v>
      </c>
      <c r="D150" s="6" t="s">
        <v>77</v>
      </c>
      <c r="E150" s="6" t="s">
        <v>12</v>
      </c>
      <c r="F150" s="6" t="s">
        <v>13</v>
      </c>
      <c r="G150" s="6" t="s">
        <v>14</v>
      </c>
      <c r="H150" s="7" t="s">
        <v>342</v>
      </c>
      <c r="I150" s="8">
        <f t="shared" si="1"/>
        <v>-40</v>
      </c>
    </row>
    <row r="151" ht="15.75" customHeight="1">
      <c r="A151" s="4" t="s">
        <v>343</v>
      </c>
      <c r="B151" s="5">
        <v>4000.0</v>
      </c>
      <c r="C151" s="6" t="s">
        <v>10</v>
      </c>
      <c r="D151" s="6" t="s">
        <v>344</v>
      </c>
      <c r="E151" s="6" t="s">
        <v>38</v>
      </c>
      <c r="F151" s="6" t="s">
        <v>13</v>
      </c>
      <c r="G151" s="6" t="s">
        <v>331</v>
      </c>
      <c r="H151" s="7" t="s">
        <v>345</v>
      </c>
      <c r="I151" s="8">
        <f t="shared" si="1"/>
        <v>-4000</v>
      </c>
    </row>
    <row r="152" ht="15.75" customHeight="1">
      <c r="A152" s="4" t="s">
        <v>343</v>
      </c>
      <c r="B152" s="5">
        <v>76.98</v>
      </c>
      <c r="C152" s="6" t="s">
        <v>346</v>
      </c>
      <c r="D152" s="6" t="s">
        <v>347</v>
      </c>
      <c r="E152" s="6" t="s">
        <v>20</v>
      </c>
      <c r="F152" s="6" t="s">
        <v>13</v>
      </c>
      <c r="G152" s="6" t="s">
        <v>14</v>
      </c>
      <c r="H152" s="7" t="s">
        <v>348</v>
      </c>
      <c r="I152" s="8">
        <f t="shared" si="1"/>
        <v>-76.98</v>
      </c>
    </row>
    <row r="153" ht="15.75" customHeight="1">
      <c r="A153" s="4" t="s">
        <v>349</v>
      </c>
      <c r="B153" s="5">
        <v>18000.0</v>
      </c>
      <c r="C153" s="6" t="s">
        <v>10</v>
      </c>
      <c r="D153" s="6" t="s">
        <v>350</v>
      </c>
      <c r="E153" s="6" t="s">
        <v>350</v>
      </c>
      <c r="F153" s="6" t="s">
        <v>39</v>
      </c>
      <c r="G153" s="6" t="s">
        <v>40</v>
      </c>
      <c r="H153" s="7" t="s">
        <v>351</v>
      </c>
      <c r="I153" s="8">
        <f t="shared" si="1"/>
        <v>18000</v>
      </c>
    </row>
    <row r="154" ht="15.75" customHeight="1">
      <c r="A154" s="4" t="s">
        <v>352</v>
      </c>
      <c r="B154" s="5">
        <v>15.19</v>
      </c>
      <c r="C154" s="6" t="s">
        <v>10</v>
      </c>
      <c r="D154" s="6" t="s">
        <v>43</v>
      </c>
      <c r="E154" s="6" t="s">
        <v>20</v>
      </c>
      <c r="F154" s="6" t="s">
        <v>13</v>
      </c>
      <c r="G154" s="6" t="s">
        <v>14</v>
      </c>
      <c r="H154" s="7" t="s">
        <v>353</v>
      </c>
      <c r="I154" s="8">
        <f t="shared" si="1"/>
        <v>-15.19</v>
      </c>
    </row>
    <row r="155" ht="15.75" customHeight="1">
      <c r="A155" s="4" t="s">
        <v>354</v>
      </c>
      <c r="B155" s="5">
        <v>40.86</v>
      </c>
      <c r="C155" s="6" t="s">
        <v>103</v>
      </c>
      <c r="D155" s="6" t="s">
        <v>355</v>
      </c>
      <c r="E155" s="6" t="s">
        <v>20</v>
      </c>
      <c r="F155" s="6" t="s">
        <v>13</v>
      </c>
      <c r="G155" s="6" t="s">
        <v>14</v>
      </c>
      <c r="H155" s="7" t="s">
        <v>356</v>
      </c>
      <c r="I155" s="8">
        <f t="shared" si="1"/>
        <v>-40.86</v>
      </c>
    </row>
    <row r="156" ht="15.75" customHeight="1">
      <c r="A156" s="4" t="s">
        <v>357</v>
      </c>
      <c r="B156" s="5">
        <v>215.0</v>
      </c>
      <c r="C156" s="6" t="s">
        <v>103</v>
      </c>
      <c r="D156" s="6" t="s">
        <v>358</v>
      </c>
      <c r="E156" s="6" t="s">
        <v>20</v>
      </c>
      <c r="F156" s="6" t="s">
        <v>13</v>
      </c>
      <c r="G156" s="6" t="s">
        <v>14</v>
      </c>
      <c r="H156" s="7" t="s">
        <v>359</v>
      </c>
      <c r="I156" s="8">
        <f t="shared" si="1"/>
        <v>-215</v>
      </c>
    </row>
    <row r="157" ht="15.75" customHeight="1">
      <c r="A157" s="4" t="s">
        <v>360</v>
      </c>
      <c r="B157" s="5">
        <v>16.0</v>
      </c>
      <c r="C157" s="6" t="s">
        <v>103</v>
      </c>
      <c r="D157" s="6" t="s">
        <v>361</v>
      </c>
      <c r="E157" s="6" t="s">
        <v>20</v>
      </c>
      <c r="F157" s="6" t="s">
        <v>13</v>
      </c>
      <c r="G157" s="6" t="s">
        <v>14</v>
      </c>
      <c r="H157" s="7" t="s">
        <v>362</v>
      </c>
      <c r="I157" s="8">
        <f t="shared" si="1"/>
        <v>-16</v>
      </c>
    </row>
    <row r="158" ht="15.75" customHeight="1">
      <c r="A158" s="4" t="s">
        <v>363</v>
      </c>
      <c r="B158" s="5">
        <v>110.0</v>
      </c>
      <c r="C158" s="6" t="s">
        <v>103</v>
      </c>
      <c r="D158" s="6" t="s">
        <v>364</v>
      </c>
      <c r="E158" s="6" t="s">
        <v>20</v>
      </c>
      <c r="F158" s="6" t="s">
        <v>13</v>
      </c>
      <c r="G158" s="6" t="s">
        <v>14</v>
      </c>
      <c r="H158" s="7" t="s">
        <v>365</v>
      </c>
      <c r="I158" s="8">
        <f t="shared" si="1"/>
        <v>-110</v>
      </c>
    </row>
    <row r="159" ht="15.75" customHeight="1">
      <c r="A159" s="4" t="s">
        <v>366</v>
      </c>
      <c r="B159" s="5">
        <v>2000.0</v>
      </c>
      <c r="C159" s="6" t="s">
        <v>10</v>
      </c>
      <c r="D159" s="6" t="s">
        <v>367</v>
      </c>
      <c r="E159" s="6" t="s">
        <v>38</v>
      </c>
      <c r="F159" s="6" t="s">
        <v>39</v>
      </c>
      <c r="G159" s="6" t="s">
        <v>40</v>
      </c>
      <c r="H159" s="7" t="s">
        <v>368</v>
      </c>
      <c r="I159" s="8">
        <f t="shared" si="1"/>
        <v>2000</v>
      </c>
    </row>
    <row r="160" ht="15.75" customHeight="1">
      <c r="A160" s="4" t="s">
        <v>369</v>
      </c>
      <c r="B160" s="5">
        <v>25.45</v>
      </c>
      <c r="C160" s="6" t="s">
        <v>103</v>
      </c>
      <c r="D160" s="6" t="s">
        <v>370</v>
      </c>
      <c r="E160" s="6" t="s">
        <v>12</v>
      </c>
      <c r="F160" s="6" t="s">
        <v>13</v>
      </c>
      <c r="G160" s="6" t="s">
        <v>14</v>
      </c>
      <c r="H160" s="7" t="s">
        <v>371</v>
      </c>
      <c r="I160" s="8">
        <f t="shared" si="1"/>
        <v>-25.45</v>
      </c>
    </row>
    <row r="161" ht="15.75" customHeight="1">
      <c r="A161" s="4" t="s">
        <v>369</v>
      </c>
      <c r="B161" s="5">
        <v>27.8</v>
      </c>
      <c r="C161" s="6" t="s">
        <v>103</v>
      </c>
      <c r="D161" s="6" t="s">
        <v>372</v>
      </c>
      <c r="E161" s="6" t="s">
        <v>12</v>
      </c>
      <c r="F161" s="6" t="s">
        <v>13</v>
      </c>
      <c r="G161" s="6" t="s">
        <v>14</v>
      </c>
      <c r="H161" s="7" t="s">
        <v>373</v>
      </c>
      <c r="I161" s="8">
        <f t="shared" si="1"/>
        <v>-27.8</v>
      </c>
    </row>
    <row r="162" ht="15.75" customHeight="1">
      <c r="A162" s="4" t="s">
        <v>374</v>
      </c>
      <c r="B162" s="5">
        <v>384.0</v>
      </c>
      <c r="C162" s="6" t="s">
        <v>10</v>
      </c>
      <c r="D162" s="6" t="s">
        <v>375</v>
      </c>
      <c r="E162" s="6" t="s">
        <v>20</v>
      </c>
      <c r="F162" s="6" t="s">
        <v>13</v>
      </c>
      <c r="G162" s="6" t="s">
        <v>14</v>
      </c>
      <c r="H162" s="7" t="s">
        <v>376</v>
      </c>
      <c r="I162" s="8">
        <f t="shared" si="1"/>
        <v>-384</v>
      </c>
    </row>
    <row r="163" ht="15.75" customHeight="1">
      <c r="A163" s="4" t="s">
        <v>374</v>
      </c>
      <c r="B163" s="5">
        <v>31.16</v>
      </c>
      <c r="C163" s="6" t="s">
        <v>10</v>
      </c>
      <c r="D163" s="6" t="s">
        <v>377</v>
      </c>
      <c r="E163" s="6" t="s">
        <v>20</v>
      </c>
      <c r="F163" s="6" t="s">
        <v>13</v>
      </c>
      <c r="G163" s="6" t="s">
        <v>14</v>
      </c>
      <c r="H163" s="7" t="s">
        <v>378</v>
      </c>
      <c r="I163" s="8">
        <f t="shared" si="1"/>
        <v>-31.16</v>
      </c>
    </row>
    <row r="164" ht="15.75" customHeight="1">
      <c r="A164" s="4" t="s">
        <v>379</v>
      </c>
      <c r="B164" s="5">
        <v>56.93</v>
      </c>
      <c r="C164" s="6" t="s">
        <v>10</v>
      </c>
      <c r="D164" s="6" t="s">
        <v>58</v>
      </c>
      <c r="E164" s="6" t="s">
        <v>12</v>
      </c>
      <c r="F164" s="6" t="s">
        <v>13</v>
      </c>
      <c r="G164" s="6" t="s">
        <v>14</v>
      </c>
      <c r="H164" s="7" t="s">
        <v>380</v>
      </c>
      <c r="I164" s="8">
        <f t="shared" si="1"/>
        <v>-56.93</v>
      </c>
    </row>
    <row r="165" ht="15.75" customHeight="1">
      <c r="A165" s="4" t="s">
        <v>381</v>
      </c>
      <c r="B165" s="5">
        <v>80.0</v>
      </c>
      <c r="C165" s="6" t="s">
        <v>10</v>
      </c>
      <c r="D165" s="6" t="s">
        <v>382</v>
      </c>
      <c r="E165" s="6" t="s">
        <v>20</v>
      </c>
      <c r="F165" s="6" t="s">
        <v>13</v>
      </c>
      <c r="G165" s="6" t="s">
        <v>14</v>
      </c>
      <c r="H165" s="7" t="s">
        <v>383</v>
      </c>
      <c r="I165" s="8">
        <f t="shared" si="1"/>
        <v>-80</v>
      </c>
    </row>
    <row r="166" ht="15.75" customHeight="1">
      <c r="A166" s="4" t="s">
        <v>384</v>
      </c>
      <c r="B166" s="5">
        <v>15.0</v>
      </c>
      <c r="C166" s="6" t="s">
        <v>10</v>
      </c>
      <c r="D166" s="6" t="s">
        <v>385</v>
      </c>
      <c r="E166" s="6" t="s">
        <v>20</v>
      </c>
      <c r="F166" s="6" t="s">
        <v>13</v>
      </c>
      <c r="G166" s="6" t="s">
        <v>14</v>
      </c>
      <c r="H166" s="7" t="s">
        <v>386</v>
      </c>
      <c r="I166" s="8">
        <f t="shared" si="1"/>
        <v>-15</v>
      </c>
    </row>
    <row r="167" ht="15.75" customHeight="1">
      <c r="A167" s="4" t="s">
        <v>387</v>
      </c>
      <c r="B167" s="5">
        <v>8763.0</v>
      </c>
      <c r="C167" s="6" t="s">
        <v>10</v>
      </c>
      <c r="D167" s="6" t="s">
        <v>388</v>
      </c>
      <c r="E167" s="6" t="s">
        <v>20</v>
      </c>
      <c r="F167" s="6" t="s">
        <v>13</v>
      </c>
      <c r="G167" s="6" t="s">
        <v>14</v>
      </c>
      <c r="H167" s="7" t="s">
        <v>389</v>
      </c>
      <c r="I167" s="8">
        <f t="shared" si="1"/>
        <v>-8763</v>
      </c>
    </row>
    <row r="168" ht="15.75" customHeight="1">
      <c r="A168" s="4" t="s">
        <v>390</v>
      </c>
      <c r="B168" s="5">
        <v>47.49</v>
      </c>
      <c r="C168" s="6" t="s">
        <v>10</v>
      </c>
      <c r="D168" s="6" t="s">
        <v>111</v>
      </c>
      <c r="E168" s="6" t="s">
        <v>20</v>
      </c>
      <c r="F168" s="6" t="s">
        <v>13</v>
      </c>
      <c r="G168" s="6" t="s">
        <v>14</v>
      </c>
      <c r="H168" s="7" t="s">
        <v>391</v>
      </c>
      <c r="I168" s="8">
        <f t="shared" si="1"/>
        <v>-47.49</v>
      </c>
    </row>
    <row r="169" ht="15.75" customHeight="1">
      <c r="A169" s="4" t="s">
        <v>390</v>
      </c>
      <c r="B169" s="5">
        <v>300.0</v>
      </c>
      <c r="C169" s="6" t="s">
        <v>10</v>
      </c>
      <c r="D169" s="6" t="s">
        <v>272</v>
      </c>
      <c r="E169" s="6" t="s">
        <v>20</v>
      </c>
      <c r="F169" s="6" t="s">
        <v>13</v>
      </c>
      <c r="G169" s="6" t="s">
        <v>14</v>
      </c>
      <c r="H169" s="7" t="s">
        <v>392</v>
      </c>
      <c r="I169" s="8">
        <f t="shared" si="1"/>
        <v>-300</v>
      </c>
    </row>
    <row r="170" ht="15.75" customHeight="1">
      <c r="A170" s="4" t="s">
        <v>390</v>
      </c>
      <c r="B170" s="5">
        <v>122.0</v>
      </c>
      <c r="C170" s="6" t="s">
        <v>10</v>
      </c>
      <c r="D170" s="6" t="s">
        <v>393</v>
      </c>
      <c r="E170" s="6" t="s">
        <v>12</v>
      </c>
      <c r="F170" s="6" t="s">
        <v>13</v>
      </c>
      <c r="G170" s="6" t="s">
        <v>14</v>
      </c>
      <c r="H170" s="7" t="s">
        <v>394</v>
      </c>
      <c r="I170" s="8">
        <f t="shared" si="1"/>
        <v>-122</v>
      </c>
    </row>
    <row r="171" ht="15.75" customHeight="1">
      <c r="A171" s="4" t="s">
        <v>395</v>
      </c>
      <c r="B171" s="5">
        <v>14.98</v>
      </c>
      <c r="C171" s="6" t="s">
        <v>103</v>
      </c>
      <c r="D171" s="6" t="s">
        <v>114</v>
      </c>
      <c r="E171" s="6" t="s">
        <v>12</v>
      </c>
      <c r="F171" s="6" t="s">
        <v>13</v>
      </c>
      <c r="G171" s="6" t="s">
        <v>14</v>
      </c>
      <c r="H171" s="7" t="s">
        <v>396</v>
      </c>
      <c r="I171" s="8">
        <f t="shared" si="1"/>
        <v>-14.98</v>
      </c>
    </row>
    <row r="172" ht="15.75" customHeight="1">
      <c r="A172" s="4" t="s">
        <v>397</v>
      </c>
      <c r="B172" s="5">
        <v>25.0</v>
      </c>
      <c r="C172" s="6" t="s">
        <v>10</v>
      </c>
      <c r="D172" s="6" t="s">
        <v>90</v>
      </c>
      <c r="E172" s="6" t="s">
        <v>12</v>
      </c>
      <c r="F172" s="6" t="s">
        <v>13</v>
      </c>
      <c r="G172" s="6" t="s">
        <v>14</v>
      </c>
      <c r="H172" s="7" t="s">
        <v>398</v>
      </c>
      <c r="I172" s="8">
        <f t="shared" si="1"/>
        <v>-25</v>
      </c>
    </row>
    <row r="173" ht="15.75" customHeight="1">
      <c r="A173" s="4" t="s">
        <v>397</v>
      </c>
      <c r="B173" s="5">
        <v>7500.0</v>
      </c>
      <c r="C173" s="6" t="s">
        <v>10</v>
      </c>
      <c r="D173" s="6" t="s">
        <v>37</v>
      </c>
      <c r="E173" s="6" t="s">
        <v>38</v>
      </c>
      <c r="F173" s="6" t="s">
        <v>39</v>
      </c>
      <c r="G173" s="6" t="s">
        <v>40</v>
      </c>
      <c r="H173" s="7" t="s">
        <v>399</v>
      </c>
      <c r="I173" s="8">
        <f t="shared" si="1"/>
        <v>7500</v>
      </c>
    </row>
    <row r="174" ht="15.75" customHeight="1">
      <c r="A174" s="4" t="s">
        <v>397</v>
      </c>
      <c r="B174" s="5">
        <v>10.0</v>
      </c>
      <c r="C174" s="6" t="s">
        <v>103</v>
      </c>
      <c r="D174" s="6" t="s">
        <v>104</v>
      </c>
      <c r="E174" s="6" t="s">
        <v>20</v>
      </c>
      <c r="F174" s="6" t="s">
        <v>13</v>
      </c>
      <c r="G174" s="6" t="s">
        <v>14</v>
      </c>
      <c r="H174" s="7" t="s">
        <v>400</v>
      </c>
      <c r="I174" s="8">
        <f t="shared" si="1"/>
        <v>-10</v>
      </c>
    </row>
    <row r="175" ht="15.75" customHeight="1">
      <c r="A175" s="4" t="s">
        <v>397</v>
      </c>
      <c r="B175" s="5">
        <v>10.0</v>
      </c>
      <c r="C175" s="6" t="s">
        <v>103</v>
      </c>
      <c r="D175" s="6" t="s">
        <v>114</v>
      </c>
      <c r="E175" s="6" t="s">
        <v>12</v>
      </c>
      <c r="F175" s="6" t="s">
        <v>13</v>
      </c>
      <c r="G175" s="6" t="s">
        <v>14</v>
      </c>
      <c r="H175" s="7" t="s">
        <v>401</v>
      </c>
      <c r="I175" s="8">
        <f t="shared" si="1"/>
        <v>-10</v>
      </c>
    </row>
    <row r="176" ht="15.75" customHeight="1">
      <c r="A176" s="4" t="s">
        <v>402</v>
      </c>
      <c r="B176" s="5">
        <v>130.0</v>
      </c>
      <c r="C176" s="6" t="s">
        <v>10</v>
      </c>
      <c r="D176" s="6" t="s">
        <v>403</v>
      </c>
      <c r="E176" s="6" t="s">
        <v>20</v>
      </c>
      <c r="F176" s="6" t="s">
        <v>13</v>
      </c>
      <c r="G176" s="6" t="s">
        <v>14</v>
      </c>
      <c r="H176" s="7" t="s">
        <v>404</v>
      </c>
      <c r="I176" s="8">
        <f t="shared" si="1"/>
        <v>-130</v>
      </c>
    </row>
    <row r="177" ht="15.75" customHeight="1">
      <c r="A177" s="4" t="s">
        <v>402</v>
      </c>
      <c r="B177" s="5">
        <v>126.0</v>
      </c>
      <c r="C177" s="6" t="s">
        <v>10</v>
      </c>
      <c r="D177" s="6" t="s">
        <v>90</v>
      </c>
      <c r="E177" s="6" t="s">
        <v>20</v>
      </c>
      <c r="F177" s="6" t="s">
        <v>13</v>
      </c>
      <c r="G177" s="6" t="s">
        <v>14</v>
      </c>
      <c r="H177" s="7" t="s">
        <v>405</v>
      </c>
      <c r="I177" s="8">
        <f t="shared" si="1"/>
        <v>-126</v>
      </c>
    </row>
    <row r="178" ht="15.75" customHeight="1">
      <c r="A178" s="4" t="s">
        <v>406</v>
      </c>
      <c r="B178" s="5">
        <v>38.0</v>
      </c>
      <c r="C178" s="6" t="s">
        <v>10</v>
      </c>
      <c r="D178" s="6" t="s">
        <v>407</v>
      </c>
      <c r="E178" s="6" t="s">
        <v>12</v>
      </c>
      <c r="F178" s="6" t="s">
        <v>13</v>
      </c>
      <c r="G178" s="6" t="s">
        <v>14</v>
      </c>
      <c r="H178" s="7" t="s">
        <v>408</v>
      </c>
      <c r="I178" s="8">
        <f t="shared" si="1"/>
        <v>-38</v>
      </c>
    </row>
    <row r="179" ht="15.75" customHeight="1">
      <c r="A179" s="4" t="s">
        <v>406</v>
      </c>
      <c r="B179" s="5">
        <v>32.0</v>
      </c>
      <c r="C179" s="6" t="s">
        <v>10</v>
      </c>
      <c r="D179" s="6" t="s">
        <v>409</v>
      </c>
      <c r="E179" s="6" t="s">
        <v>12</v>
      </c>
      <c r="F179" s="6" t="s">
        <v>13</v>
      </c>
      <c r="G179" s="6" t="s">
        <v>14</v>
      </c>
      <c r="H179" s="7" t="s">
        <v>410</v>
      </c>
      <c r="I179" s="8">
        <f t="shared" si="1"/>
        <v>-32</v>
      </c>
    </row>
    <row r="180" ht="15.75" customHeight="1">
      <c r="A180" s="4" t="s">
        <v>406</v>
      </c>
      <c r="B180" s="5">
        <v>1200.0</v>
      </c>
      <c r="C180" s="6" t="s">
        <v>10</v>
      </c>
      <c r="D180" s="6" t="s">
        <v>37</v>
      </c>
      <c r="E180" s="6" t="s">
        <v>38</v>
      </c>
      <c r="F180" s="6" t="s">
        <v>39</v>
      </c>
      <c r="G180" s="6" t="s">
        <v>40</v>
      </c>
      <c r="H180" s="7" t="s">
        <v>411</v>
      </c>
      <c r="I180" s="8">
        <f t="shared" si="1"/>
        <v>1200</v>
      </c>
    </row>
    <row r="181" ht="15.75" customHeight="1">
      <c r="A181" s="4" t="s">
        <v>412</v>
      </c>
      <c r="B181" s="5">
        <v>25.0</v>
      </c>
      <c r="C181" s="6" t="s">
        <v>10</v>
      </c>
      <c r="D181" s="6" t="s">
        <v>254</v>
      </c>
      <c r="E181" s="6" t="s">
        <v>38</v>
      </c>
      <c r="F181" s="6" t="s">
        <v>39</v>
      </c>
      <c r="G181" s="6" t="s">
        <v>40</v>
      </c>
      <c r="H181" s="7" t="s">
        <v>413</v>
      </c>
      <c r="I181" s="8">
        <f t="shared" si="1"/>
        <v>25</v>
      </c>
    </row>
    <row r="182" ht="15.75" customHeight="1">
      <c r="A182" s="4" t="s">
        <v>414</v>
      </c>
      <c r="B182" s="5">
        <v>72.6</v>
      </c>
      <c r="C182" s="6" t="s">
        <v>10</v>
      </c>
      <c r="D182" s="6" t="s">
        <v>90</v>
      </c>
      <c r="E182" s="6" t="s">
        <v>20</v>
      </c>
      <c r="F182" s="6" t="s">
        <v>13</v>
      </c>
      <c r="G182" s="6" t="s">
        <v>14</v>
      </c>
      <c r="H182" s="7" t="s">
        <v>415</v>
      </c>
      <c r="I182" s="8">
        <f t="shared" si="1"/>
        <v>-72.6</v>
      </c>
    </row>
    <row r="183" ht="15.75" customHeight="1">
      <c r="A183" s="4" t="s">
        <v>416</v>
      </c>
      <c r="B183" s="5">
        <v>5.0</v>
      </c>
      <c r="C183" s="6" t="s">
        <v>10</v>
      </c>
      <c r="D183" s="6" t="s">
        <v>417</v>
      </c>
      <c r="E183" s="6" t="s">
        <v>12</v>
      </c>
      <c r="F183" s="6" t="s">
        <v>13</v>
      </c>
      <c r="G183" s="6" t="s">
        <v>14</v>
      </c>
      <c r="H183" s="7" t="s">
        <v>418</v>
      </c>
      <c r="I183" s="8">
        <f t="shared" si="1"/>
        <v>-5</v>
      </c>
    </row>
    <row r="184" ht="15.75" customHeight="1">
      <c r="A184" s="4" t="s">
        <v>416</v>
      </c>
      <c r="B184" s="5">
        <v>26.0</v>
      </c>
      <c r="C184" s="6" t="s">
        <v>10</v>
      </c>
      <c r="D184" s="6" t="s">
        <v>419</v>
      </c>
      <c r="E184" s="6" t="s">
        <v>12</v>
      </c>
      <c r="F184" s="6" t="s">
        <v>13</v>
      </c>
      <c r="G184" s="6" t="s">
        <v>14</v>
      </c>
      <c r="H184" s="7" t="s">
        <v>420</v>
      </c>
      <c r="I184" s="8">
        <f t="shared" si="1"/>
        <v>-26</v>
      </c>
    </row>
    <row r="185" ht="15.75" customHeight="1">
      <c r="A185" s="4" t="s">
        <v>416</v>
      </c>
      <c r="B185" s="5">
        <v>130.25</v>
      </c>
      <c r="C185" s="6" t="s">
        <v>10</v>
      </c>
      <c r="D185" s="6" t="s">
        <v>421</v>
      </c>
      <c r="E185" s="6" t="s">
        <v>20</v>
      </c>
      <c r="F185" s="6" t="s">
        <v>13</v>
      </c>
      <c r="G185" s="6" t="s">
        <v>14</v>
      </c>
      <c r="H185" s="7" t="s">
        <v>422</v>
      </c>
      <c r="I185" s="8">
        <f t="shared" si="1"/>
        <v>-130.25</v>
      </c>
    </row>
    <row r="186" ht="15.75" customHeight="1">
      <c r="A186" s="4" t="s">
        <v>416</v>
      </c>
      <c r="B186" s="5">
        <v>219.0</v>
      </c>
      <c r="C186" s="6" t="s">
        <v>10</v>
      </c>
      <c r="D186" s="6" t="s">
        <v>423</v>
      </c>
      <c r="E186" s="6" t="s">
        <v>20</v>
      </c>
      <c r="F186" s="6" t="s">
        <v>13</v>
      </c>
      <c r="G186" s="6" t="s">
        <v>14</v>
      </c>
      <c r="H186" s="7" t="s">
        <v>424</v>
      </c>
      <c r="I186" s="8">
        <f t="shared" si="1"/>
        <v>-219</v>
      </c>
    </row>
    <row r="187" ht="15.75" customHeight="1">
      <c r="A187" s="4" t="s">
        <v>425</v>
      </c>
      <c r="B187" s="5">
        <v>9.0</v>
      </c>
      <c r="C187" s="6" t="s">
        <v>10</v>
      </c>
      <c r="D187" s="6" t="s">
        <v>426</v>
      </c>
      <c r="E187" s="6" t="s">
        <v>12</v>
      </c>
      <c r="F187" s="6" t="s">
        <v>13</v>
      </c>
      <c r="G187" s="6" t="s">
        <v>14</v>
      </c>
      <c r="H187" s="7" t="s">
        <v>427</v>
      </c>
      <c r="I187" s="8">
        <f t="shared" si="1"/>
        <v>-9</v>
      </c>
    </row>
    <row r="188" ht="15.75" customHeight="1">
      <c r="A188" s="4" t="s">
        <v>425</v>
      </c>
      <c r="B188" s="5">
        <v>28.0</v>
      </c>
      <c r="C188" s="6" t="s">
        <v>10</v>
      </c>
      <c r="D188" s="6" t="s">
        <v>219</v>
      </c>
      <c r="E188" s="6" t="s">
        <v>12</v>
      </c>
      <c r="F188" s="6" t="s">
        <v>13</v>
      </c>
      <c r="G188" s="6" t="s">
        <v>14</v>
      </c>
      <c r="H188" s="7" t="s">
        <v>428</v>
      </c>
      <c r="I188" s="8">
        <f t="shared" si="1"/>
        <v>-28</v>
      </c>
    </row>
    <row r="189" ht="15.75" customHeight="1">
      <c r="A189" s="4" t="s">
        <v>425</v>
      </c>
      <c r="B189" s="5">
        <v>314.0</v>
      </c>
      <c r="C189" s="6" t="s">
        <v>10</v>
      </c>
      <c r="D189" s="6" t="s">
        <v>429</v>
      </c>
      <c r="E189" s="6" t="s">
        <v>12</v>
      </c>
      <c r="F189" s="6" t="s">
        <v>13</v>
      </c>
      <c r="G189" s="6" t="s">
        <v>14</v>
      </c>
      <c r="H189" s="7" t="s">
        <v>430</v>
      </c>
      <c r="I189" s="8">
        <f t="shared" si="1"/>
        <v>-314</v>
      </c>
    </row>
    <row r="190" ht="15.75" customHeight="1">
      <c r="A190" s="4" t="s">
        <v>425</v>
      </c>
      <c r="B190" s="5">
        <v>3.0</v>
      </c>
      <c r="C190" s="6" t="s">
        <v>10</v>
      </c>
      <c r="D190" s="6" t="s">
        <v>219</v>
      </c>
      <c r="E190" s="6" t="s">
        <v>12</v>
      </c>
      <c r="F190" s="6" t="s">
        <v>13</v>
      </c>
      <c r="G190" s="6" t="s">
        <v>14</v>
      </c>
      <c r="H190" s="7" t="s">
        <v>431</v>
      </c>
      <c r="I190" s="8">
        <f t="shared" si="1"/>
        <v>-3</v>
      </c>
    </row>
    <row r="191" ht="15.75" customHeight="1">
      <c r="A191" s="4" t="s">
        <v>425</v>
      </c>
      <c r="B191" s="5">
        <v>156.0</v>
      </c>
      <c r="C191" s="6" t="s">
        <v>10</v>
      </c>
      <c r="D191" s="6" t="s">
        <v>432</v>
      </c>
      <c r="E191" s="6" t="s">
        <v>12</v>
      </c>
      <c r="F191" s="6" t="s">
        <v>13</v>
      </c>
      <c r="G191" s="6" t="s">
        <v>14</v>
      </c>
      <c r="H191" s="7" t="s">
        <v>433</v>
      </c>
      <c r="I191" s="8">
        <f t="shared" si="1"/>
        <v>-156</v>
      </c>
    </row>
    <row r="192" ht="15.75" customHeight="1">
      <c r="A192" s="4" t="s">
        <v>434</v>
      </c>
      <c r="B192" s="5">
        <v>44.19</v>
      </c>
      <c r="C192" s="6" t="s">
        <v>10</v>
      </c>
      <c r="D192" s="6" t="s">
        <v>176</v>
      </c>
      <c r="E192" s="6" t="s">
        <v>20</v>
      </c>
      <c r="F192" s="6" t="s">
        <v>13</v>
      </c>
      <c r="G192" s="6" t="s">
        <v>14</v>
      </c>
      <c r="H192" s="7" t="s">
        <v>435</v>
      </c>
      <c r="I192" s="8">
        <f t="shared" si="1"/>
        <v>-44.19</v>
      </c>
    </row>
    <row r="193" ht="15.75" customHeight="1">
      <c r="A193" s="4" t="s">
        <v>436</v>
      </c>
      <c r="B193" s="5">
        <v>578.0</v>
      </c>
      <c r="C193" s="6" t="s">
        <v>10</v>
      </c>
      <c r="D193" s="6" t="s">
        <v>437</v>
      </c>
      <c r="E193" s="6" t="s">
        <v>12</v>
      </c>
      <c r="F193" s="6" t="s">
        <v>13</v>
      </c>
      <c r="G193" s="6" t="s">
        <v>14</v>
      </c>
      <c r="H193" s="7" t="s">
        <v>438</v>
      </c>
      <c r="I193" s="8">
        <f t="shared" si="1"/>
        <v>-578</v>
      </c>
    </row>
    <row r="194" ht="15.75" customHeight="1">
      <c r="A194" s="4" t="s">
        <v>439</v>
      </c>
      <c r="B194" s="5">
        <v>42.0</v>
      </c>
      <c r="C194" s="6" t="s">
        <v>10</v>
      </c>
      <c r="D194" s="6" t="s">
        <v>82</v>
      </c>
      <c r="E194" s="6" t="s">
        <v>12</v>
      </c>
      <c r="F194" s="6" t="s">
        <v>13</v>
      </c>
      <c r="G194" s="6" t="s">
        <v>14</v>
      </c>
      <c r="H194" s="7" t="s">
        <v>440</v>
      </c>
      <c r="I194" s="8">
        <f t="shared" si="1"/>
        <v>-42</v>
      </c>
    </row>
    <row r="195" ht="15.75" customHeight="1">
      <c r="A195" s="4" t="s">
        <v>441</v>
      </c>
      <c r="B195" s="5">
        <v>65.6</v>
      </c>
      <c r="C195" s="6" t="s">
        <v>10</v>
      </c>
      <c r="D195" s="6" t="s">
        <v>90</v>
      </c>
      <c r="E195" s="6" t="s">
        <v>12</v>
      </c>
      <c r="F195" s="6" t="s">
        <v>13</v>
      </c>
      <c r="G195" s="6" t="s">
        <v>14</v>
      </c>
      <c r="H195" s="7" t="s">
        <v>442</v>
      </c>
      <c r="I195" s="8">
        <f t="shared" si="1"/>
        <v>-65.6</v>
      </c>
    </row>
    <row r="196" ht="15.75" customHeight="1">
      <c r="A196" s="4" t="s">
        <v>443</v>
      </c>
      <c r="B196" s="5">
        <v>53.2</v>
      </c>
      <c r="C196" s="6" t="s">
        <v>10</v>
      </c>
      <c r="D196" s="6" t="s">
        <v>90</v>
      </c>
      <c r="E196" s="6" t="s">
        <v>12</v>
      </c>
      <c r="F196" s="6" t="s">
        <v>13</v>
      </c>
      <c r="G196" s="6" t="s">
        <v>14</v>
      </c>
      <c r="H196" s="7" t="s">
        <v>444</v>
      </c>
      <c r="I196" s="8">
        <f t="shared" si="1"/>
        <v>-53.2</v>
      </c>
    </row>
    <row r="197" ht="15.75" customHeight="1">
      <c r="A197" s="4" t="s">
        <v>445</v>
      </c>
      <c r="B197" s="5">
        <v>18.0</v>
      </c>
      <c r="C197" s="6" t="s">
        <v>10</v>
      </c>
      <c r="D197" s="6" t="s">
        <v>90</v>
      </c>
      <c r="E197" s="6" t="s">
        <v>12</v>
      </c>
      <c r="F197" s="6" t="s">
        <v>13</v>
      </c>
      <c r="G197" s="6" t="s">
        <v>14</v>
      </c>
      <c r="H197" s="7" t="s">
        <v>446</v>
      </c>
      <c r="I197" s="8">
        <f t="shared" si="1"/>
        <v>-18</v>
      </c>
    </row>
    <row r="198" ht="15.75" customHeight="1">
      <c r="A198" s="4" t="s">
        <v>447</v>
      </c>
      <c r="B198" s="5">
        <v>40.0</v>
      </c>
      <c r="C198" s="6" t="s">
        <v>10</v>
      </c>
      <c r="D198" s="6" t="s">
        <v>90</v>
      </c>
      <c r="E198" s="6" t="s">
        <v>12</v>
      </c>
      <c r="F198" s="6" t="s">
        <v>13</v>
      </c>
      <c r="G198" s="6" t="s">
        <v>14</v>
      </c>
      <c r="H198" s="7" t="s">
        <v>448</v>
      </c>
      <c r="I198" s="8">
        <f t="shared" si="1"/>
        <v>-40</v>
      </c>
    </row>
    <row r="199" ht="15.75" customHeight="1">
      <c r="A199" s="4" t="s">
        <v>449</v>
      </c>
      <c r="B199" s="5">
        <v>27.6</v>
      </c>
      <c r="C199" s="6" t="s">
        <v>10</v>
      </c>
      <c r="D199" s="6" t="s">
        <v>90</v>
      </c>
      <c r="E199" s="6" t="s">
        <v>12</v>
      </c>
      <c r="F199" s="6" t="s">
        <v>13</v>
      </c>
      <c r="G199" s="6" t="s">
        <v>14</v>
      </c>
      <c r="H199" s="7" t="s">
        <v>450</v>
      </c>
      <c r="I199" s="8">
        <f t="shared" si="1"/>
        <v>-27.6</v>
      </c>
    </row>
    <row r="200" ht="15.75" customHeight="1">
      <c r="A200" s="4" t="s">
        <v>451</v>
      </c>
      <c r="B200" s="5">
        <v>59.0</v>
      </c>
      <c r="C200" s="6" t="s">
        <v>10</v>
      </c>
      <c r="D200" s="6" t="s">
        <v>90</v>
      </c>
      <c r="E200" s="6" t="s">
        <v>12</v>
      </c>
      <c r="F200" s="6" t="s">
        <v>13</v>
      </c>
      <c r="G200" s="6" t="s">
        <v>14</v>
      </c>
      <c r="H200" s="7" t="s">
        <v>452</v>
      </c>
      <c r="I200" s="8">
        <f t="shared" si="1"/>
        <v>-59</v>
      </c>
    </row>
    <row r="201" ht="15.75" customHeight="1">
      <c r="A201" s="4" t="s">
        <v>453</v>
      </c>
      <c r="B201" s="5">
        <v>420.0</v>
      </c>
      <c r="C201" s="6" t="s">
        <v>10</v>
      </c>
      <c r="D201" s="6" t="s">
        <v>454</v>
      </c>
      <c r="E201" s="6" t="s">
        <v>12</v>
      </c>
      <c r="F201" s="6" t="s">
        <v>13</v>
      </c>
      <c r="G201" s="6" t="s">
        <v>14</v>
      </c>
      <c r="H201" s="7" t="s">
        <v>455</v>
      </c>
      <c r="I201" s="8">
        <f t="shared" si="1"/>
        <v>-420</v>
      </c>
    </row>
    <row r="202" ht="15.75" customHeight="1">
      <c r="A202" s="4" t="s">
        <v>456</v>
      </c>
      <c r="B202" s="5">
        <v>60.0</v>
      </c>
      <c r="C202" s="6" t="s">
        <v>10</v>
      </c>
      <c r="D202" s="6" t="s">
        <v>256</v>
      </c>
      <c r="E202" s="6" t="s">
        <v>38</v>
      </c>
      <c r="F202" s="6" t="s">
        <v>39</v>
      </c>
      <c r="G202" s="6" t="s">
        <v>40</v>
      </c>
      <c r="H202" s="7" t="s">
        <v>457</v>
      </c>
      <c r="I202" s="8">
        <f t="shared" si="1"/>
        <v>60</v>
      </c>
    </row>
    <row r="203" ht="15.75" customHeight="1">
      <c r="A203" s="4" t="s">
        <v>458</v>
      </c>
      <c r="B203" s="5">
        <v>169.0</v>
      </c>
      <c r="C203" s="6" t="s">
        <v>10</v>
      </c>
      <c r="D203" s="6" t="s">
        <v>90</v>
      </c>
      <c r="E203" s="6" t="s">
        <v>12</v>
      </c>
      <c r="F203" s="6" t="s">
        <v>13</v>
      </c>
      <c r="G203" s="6" t="s">
        <v>14</v>
      </c>
      <c r="H203" s="7" t="s">
        <v>459</v>
      </c>
      <c r="I203" s="8">
        <f t="shared" si="1"/>
        <v>-169</v>
      </c>
    </row>
    <row r="204" ht="15.75" customHeight="1">
      <c r="A204" s="4" t="s">
        <v>460</v>
      </c>
      <c r="B204" s="5">
        <v>59.0</v>
      </c>
      <c r="C204" s="6" t="s">
        <v>10</v>
      </c>
      <c r="D204" s="6" t="s">
        <v>90</v>
      </c>
      <c r="E204" s="6" t="s">
        <v>12</v>
      </c>
      <c r="F204" s="6" t="s">
        <v>13</v>
      </c>
      <c r="G204" s="6" t="s">
        <v>14</v>
      </c>
      <c r="H204" s="7" t="s">
        <v>461</v>
      </c>
      <c r="I204" s="8">
        <f t="shared" si="1"/>
        <v>-59</v>
      </c>
    </row>
    <row r="205" ht="15.75" customHeight="1">
      <c r="A205" s="4" t="s">
        <v>462</v>
      </c>
      <c r="B205" s="5">
        <v>5.0</v>
      </c>
      <c r="C205" s="6" t="s">
        <v>103</v>
      </c>
      <c r="D205" s="6" t="s">
        <v>159</v>
      </c>
      <c r="E205" s="6" t="s">
        <v>12</v>
      </c>
      <c r="F205" s="6" t="s">
        <v>13</v>
      </c>
      <c r="G205" s="6" t="s">
        <v>14</v>
      </c>
      <c r="H205" s="7" t="s">
        <v>463</v>
      </c>
      <c r="I205" s="8">
        <f t="shared" si="1"/>
        <v>-5</v>
      </c>
    </row>
    <row r="206" ht="15.75" customHeight="1">
      <c r="A206" s="4" t="s">
        <v>464</v>
      </c>
      <c r="B206" s="5">
        <v>43.92</v>
      </c>
      <c r="C206" s="6" t="s">
        <v>10</v>
      </c>
      <c r="D206" s="6" t="s">
        <v>176</v>
      </c>
      <c r="E206" s="6" t="s">
        <v>20</v>
      </c>
      <c r="F206" s="6" t="s">
        <v>13</v>
      </c>
      <c r="G206" s="6" t="s">
        <v>14</v>
      </c>
      <c r="H206" s="7" t="s">
        <v>465</v>
      </c>
      <c r="I206" s="8">
        <f t="shared" si="1"/>
        <v>-43.92</v>
      </c>
    </row>
    <row r="207" ht="15.75" customHeight="1">
      <c r="A207" s="4" t="s">
        <v>466</v>
      </c>
      <c r="B207" s="5">
        <v>2500.0</v>
      </c>
      <c r="C207" s="6" t="s">
        <v>10</v>
      </c>
      <c r="D207" s="6" t="s">
        <v>350</v>
      </c>
      <c r="E207" s="6" t="s">
        <v>350</v>
      </c>
      <c r="F207" s="6" t="s">
        <v>39</v>
      </c>
      <c r="G207" s="6" t="s">
        <v>40</v>
      </c>
      <c r="H207" s="7" t="s">
        <v>467</v>
      </c>
      <c r="I207" s="8">
        <f t="shared" si="1"/>
        <v>2500</v>
      </c>
    </row>
    <row r="208" ht="15.75" customHeight="1">
      <c r="A208" s="4" t="s">
        <v>468</v>
      </c>
      <c r="B208" s="5">
        <v>79.0</v>
      </c>
      <c r="C208" s="6" t="s">
        <v>10</v>
      </c>
      <c r="D208" s="6" t="s">
        <v>90</v>
      </c>
      <c r="E208" s="6" t="s">
        <v>12</v>
      </c>
      <c r="F208" s="6" t="s">
        <v>13</v>
      </c>
      <c r="G208" s="6" t="s">
        <v>14</v>
      </c>
      <c r="H208" s="7" t="s">
        <v>469</v>
      </c>
      <c r="I208" s="8">
        <f t="shared" si="1"/>
        <v>-79</v>
      </c>
    </row>
    <row r="209" ht="15.75" customHeight="1">
      <c r="A209" s="4" t="s">
        <v>470</v>
      </c>
      <c r="B209" s="5">
        <v>25.0</v>
      </c>
      <c r="C209" s="6" t="s">
        <v>10</v>
      </c>
      <c r="D209" s="6" t="s">
        <v>254</v>
      </c>
      <c r="E209" s="6" t="s">
        <v>38</v>
      </c>
      <c r="F209" s="6" t="s">
        <v>39</v>
      </c>
      <c r="G209" s="6" t="s">
        <v>40</v>
      </c>
      <c r="H209" s="7" t="s">
        <v>471</v>
      </c>
      <c r="I209" s="8">
        <f t="shared" si="1"/>
        <v>25</v>
      </c>
    </row>
    <row r="210" ht="15.75" customHeight="1">
      <c r="A210" s="4" t="s">
        <v>472</v>
      </c>
      <c r="B210" s="5">
        <v>103.4</v>
      </c>
      <c r="C210" s="6" t="s">
        <v>10</v>
      </c>
      <c r="D210" s="6" t="s">
        <v>90</v>
      </c>
      <c r="E210" s="6" t="s">
        <v>12</v>
      </c>
      <c r="F210" s="6" t="s">
        <v>13</v>
      </c>
      <c r="G210" s="6" t="s">
        <v>14</v>
      </c>
      <c r="H210" s="7" t="s">
        <v>473</v>
      </c>
      <c r="I210" s="8">
        <f t="shared" si="1"/>
        <v>-103.4</v>
      </c>
    </row>
    <row r="211" ht="15.75" customHeight="1">
      <c r="A211" s="4" t="s">
        <v>474</v>
      </c>
      <c r="B211" s="5">
        <v>30.0</v>
      </c>
      <c r="C211" s="6" t="s">
        <v>10</v>
      </c>
      <c r="D211" s="6" t="s">
        <v>280</v>
      </c>
      <c r="E211" s="6" t="s">
        <v>12</v>
      </c>
      <c r="F211" s="6" t="s">
        <v>13</v>
      </c>
      <c r="G211" s="6" t="s">
        <v>14</v>
      </c>
      <c r="H211" s="7" t="s">
        <v>475</v>
      </c>
      <c r="I211" s="8">
        <f t="shared" si="1"/>
        <v>-30</v>
      </c>
    </row>
    <row r="212" ht="15.75" customHeight="1">
      <c r="A212" s="4" t="s">
        <v>476</v>
      </c>
      <c r="B212" s="5">
        <v>34.3</v>
      </c>
      <c r="C212" s="6" t="s">
        <v>10</v>
      </c>
      <c r="D212" s="6" t="s">
        <v>90</v>
      </c>
      <c r="E212" s="6" t="s">
        <v>12</v>
      </c>
      <c r="F212" s="6" t="s">
        <v>13</v>
      </c>
      <c r="G212" s="6" t="s">
        <v>14</v>
      </c>
      <c r="H212" s="7" t="s">
        <v>477</v>
      </c>
      <c r="I212" s="8">
        <f t="shared" si="1"/>
        <v>-34.3</v>
      </c>
    </row>
    <row r="213" ht="15.75" customHeight="1">
      <c r="A213" s="4" t="s">
        <v>478</v>
      </c>
      <c r="B213" s="5">
        <v>25.0</v>
      </c>
      <c r="C213" s="6" t="s">
        <v>10</v>
      </c>
      <c r="D213" s="6" t="s">
        <v>64</v>
      </c>
      <c r="E213" s="6" t="s">
        <v>12</v>
      </c>
      <c r="F213" s="6" t="s">
        <v>13</v>
      </c>
      <c r="G213" s="6" t="s">
        <v>14</v>
      </c>
      <c r="H213" s="7" t="s">
        <v>479</v>
      </c>
      <c r="I213" s="8">
        <f t="shared" si="1"/>
        <v>-25</v>
      </c>
    </row>
    <row r="214" ht="15.75" customHeight="1">
      <c r="A214" s="4" t="s">
        <v>478</v>
      </c>
      <c r="B214" s="5">
        <v>60.0</v>
      </c>
      <c r="C214" s="6" t="s">
        <v>103</v>
      </c>
      <c r="D214" s="6" t="s">
        <v>240</v>
      </c>
      <c r="E214" s="6" t="s">
        <v>12</v>
      </c>
      <c r="F214" s="6" t="s">
        <v>13</v>
      </c>
      <c r="G214" s="6" t="s">
        <v>14</v>
      </c>
      <c r="H214" s="7" t="s">
        <v>480</v>
      </c>
      <c r="I214" s="8">
        <f t="shared" si="1"/>
        <v>-60</v>
      </c>
    </row>
    <row r="215" ht="15.75" customHeight="1">
      <c r="A215" s="4" t="s">
        <v>481</v>
      </c>
      <c r="B215" s="5">
        <v>13.94</v>
      </c>
      <c r="C215" s="6" t="s">
        <v>10</v>
      </c>
      <c r="D215" s="6" t="s">
        <v>17</v>
      </c>
      <c r="E215" s="6" t="s">
        <v>12</v>
      </c>
      <c r="F215" s="6" t="s">
        <v>13</v>
      </c>
      <c r="G215" s="6" t="s">
        <v>14</v>
      </c>
      <c r="H215" s="7" t="s">
        <v>482</v>
      </c>
      <c r="I215" s="8">
        <f t="shared" si="1"/>
        <v>-13.94</v>
      </c>
    </row>
    <row r="216" ht="15.75" customHeight="1">
      <c r="A216" s="4" t="s">
        <v>483</v>
      </c>
      <c r="B216" s="5">
        <v>65.3</v>
      </c>
      <c r="C216" s="6" t="s">
        <v>10</v>
      </c>
      <c r="D216" s="6" t="s">
        <v>90</v>
      </c>
      <c r="E216" s="6" t="s">
        <v>12</v>
      </c>
      <c r="F216" s="6" t="s">
        <v>13</v>
      </c>
      <c r="G216" s="6" t="s">
        <v>14</v>
      </c>
      <c r="H216" s="7" t="s">
        <v>484</v>
      </c>
      <c r="I216" s="8">
        <f t="shared" si="1"/>
        <v>-65.3</v>
      </c>
    </row>
    <row r="217" ht="15.75" customHeight="1">
      <c r="A217" s="4" t="s">
        <v>485</v>
      </c>
      <c r="B217" s="5">
        <v>51.2</v>
      </c>
      <c r="C217" s="6" t="s">
        <v>10</v>
      </c>
      <c r="D217" s="6" t="s">
        <v>90</v>
      </c>
      <c r="E217" s="6" t="s">
        <v>12</v>
      </c>
      <c r="F217" s="6" t="s">
        <v>13</v>
      </c>
      <c r="G217" s="6" t="s">
        <v>14</v>
      </c>
      <c r="H217" s="7" t="s">
        <v>486</v>
      </c>
      <c r="I217" s="8">
        <f t="shared" si="1"/>
        <v>-51.2</v>
      </c>
    </row>
    <row r="218" ht="15.75" customHeight="1">
      <c r="A218" s="4" t="s">
        <v>487</v>
      </c>
      <c r="B218" s="5">
        <v>25.0</v>
      </c>
      <c r="C218" s="6" t="s">
        <v>10</v>
      </c>
      <c r="D218" s="6" t="s">
        <v>64</v>
      </c>
      <c r="E218" s="6" t="s">
        <v>12</v>
      </c>
      <c r="F218" s="6" t="s">
        <v>13</v>
      </c>
      <c r="G218" s="6" t="s">
        <v>14</v>
      </c>
      <c r="H218" s="7" t="s">
        <v>488</v>
      </c>
      <c r="I218" s="8">
        <f t="shared" si="1"/>
        <v>-25</v>
      </c>
    </row>
    <row r="219" ht="15.75" customHeight="1">
      <c r="A219" s="4" t="s">
        <v>489</v>
      </c>
      <c r="B219" s="5">
        <v>160.0</v>
      </c>
      <c r="C219" s="6" t="s">
        <v>10</v>
      </c>
      <c r="D219" s="6" t="s">
        <v>280</v>
      </c>
      <c r="E219" s="6" t="s">
        <v>12</v>
      </c>
      <c r="F219" s="6" t="s">
        <v>13</v>
      </c>
      <c r="G219" s="6" t="s">
        <v>14</v>
      </c>
      <c r="H219" s="7" t="s">
        <v>490</v>
      </c>
      <c r="I219" s="8">
        <f t="shared" si="1"/>
        <v>-160</v>
      </c>
    </row>
    <row r="220" ht="15.75" customHeight="1">
      <c r="A220" s="4" t="s">
        <v>491</v>
      </c>
      <c r="B220" s="5">
        <v>80.0</v>
      </c>
      <c r="C220" s="6" t="s">
        <v>10</v>
      </c>
      <c r="D220" s="6" t="s">
        <v>26</v>
      </c>
      <c r="E220" s="6" t="s">
        <v>20</v>
      </c>
      <c r="F220" s="6" t="s">
        <v>13</v>
      </c>
      <c r="G220" s="6" t="s">
        <v>14</v>
      </c>
      <c r="H220" s="7" t="s">
        <v>492</v>
      </c>
      <c r="I220" s="8">
        <f t="shared" si="1"/>
        <v>-80</v>
      </c>
    </row>
    <row r="221" ht="15.75" customHeight="1">
      <c r="A221" s="4" t="s">
        <v>491</v>
      </c>
      <c r="B221" s="5">
        <v>80.0</v>
      </c>
      <c r="C221" s="6" t="s">
        <v>10</v>
      </c>
      <c r="D221" s="6" t="s">
        <v>26</v>
      </c>
      <c r="E221" s="6" t="s">
        <v>20</v>
      </c>
      <c r="F221" s="6" t="s">
        <v>13</v>
      </c>
      <c r="G221" s="6" t="s">
        <v>14</v>
      </c>
      <c r="H221" s="7" t="s">
        <v>493</v>
      </c>
      <c r="I221" s="8">
        <f t="shared" si="1"/>
        <v>-80</v>
      </c>
    </row>
    <row r="222" ht="15.75" customHeight="1">
      <c r="A222" s="4" t="s">
        <v>494</v>
      </c>
      <c r="B222" s="5">
        <v>10.0</v>
      </c>
      <c r="C222" s="6" t="s">
        <v>103</v>
      </c>
      <c r="D222" s="6" t="s">
        <v>104</v>
      </c>
      <c r="E222" s="6" t="s">
        <v>20</v>
      </c>
      <c r="F222" s="6" t="s">
        <v>13</v>
      </c>
      <c r="G222" s="6" t="s">
        <v>14</v>
      </c>
      <c r="H222" s="7" t="s">
        <v>495</v>
      </c>
      <c r="I222" s="8">
        <f t="shared" si="1"/>
        <v>-10</v>
      </c>
    </row>
    <row r="223" ht="15.75" customHeight="1">
      <c r="A223" s="4" t="s">
        <v>496</v>
      </c>
      <c r="B223" s="5">
        <v>21.56</v>
      </c>
      <c r="C223" s="6" t="s">
        <v>10</v>
      </c>
      <c r="D223" s="6" t="s">
        <v>90</v>
      </c>
      <c r="E223" s="6" t="s">
        <v>12</v>
      </c>
      <c r="F223" s="6" t="s">
        <v>13</v>
      </c>
      <c r="G223" s="6" t="s">
        <v>14</v>
      </c>
      <c r="H223" s="7" t="s">
        <v>497</v>
      </c>
      <c r="I223" s="8">
        <f t="shared" si="1"/>
        <v>-21.56</v>
      </c>
    </row>
    <row r="224" ht="15.75" customHeight="1">
      <c r="A224" s="4" t="s">
        <v>498</v>
      </c>
      <c r="B224" s="5">
        <v>160.0</v>
      </c>
      <c r="C224" s="6" t="s">
        <v>10</v>
      </c>
      <c r="D224" s="6" t="s">
        <v>499</v>
      </c>
      <c r="E224" s="6" t="s">
        <v>12</v>
      </c>
      <c r="F224" s="6" t="s">
        <v>13</v>
      </c>
      <c r="G224" s="6" t="s">
        <v>14</v>
      </c>
      <c r="H224" s="7" t="s">
        <v>500</v>
      </c>
      <c r="I224" s="8">
        <f t="shared" si="1"/>
        <v>-160</v>
      </c>
    </row>
    <row r="225" ht="15.75" customHeight="1">
      <c r="A225" s="4" t="s">
        <v>498</v>
      </c>
      <c r="B225" s="5">
        <v>1.81</v>
      </c>
      <c r="C225" s="6" t="s">
        <v>103</v>
      </c>
      <c r="D225" s="6" t="s">
        <v>161</v>
      </c>
      <c r="E225" s="6" t="s">
        <v>501</v>
      </c>
      <c r="F225" s="6" t="s">
        <v>13</v>
      </c>
      <c r="G225" s="6" t="s">
        <v>14</v>
      </c>
      <c r="H225" s="7" t="s">
        <v>502</v>
      </c>
      <c r="I225" s="8">
        <f t="shared" si="1"/>
        <v>-1.81</v>
      </c>
    </row>
    <row r="226" ht="15.75" customHeight="1">
      <c r="A226" s="4" t="s">
        <v>503</v>
      </c>
      <c r="B226" s="5">
        <v>78.5</v>
      </c>
      <c r="C226" s="6" t="s">
        <v>10</v>
      </c>
      <c r="D226" s="6" t="s">
        <v>64</v>
      </c>
      <c r="E226" s="6" t="s">
        <v>12</v>
      </c>
      <c r="F226" s="6" t="s">
        <v>13</v>
      </c>
      <c r="G226" s="6" t="s">
        <v>14</v>
      </c>
      <c r="H226" s="7" t="s">
        <v>504</v>
      </c>
      <c r="I226" s="8">
        <f t="shared" si="1"/>
        <v>-78.5</v>
      </c>
    </row>
    <row r="227" ht="15.75" customHeight="1">
      <c r="A227" s="4" t="s">
        <v>505</v>
      </c>
      <c r="B227" s="5">
        <v>2.1</v>
      </c>
      <c r="C227" s="6" t="s">
        <v>10</v>
      </c>
      <c r="D227" s="6" t="s">
        <v>506</v>
      </c>
      <c r="E227" s="6" t="s">
        <v>20</v>
      </c>
      <c r="F227" s="6" t="s">
        <v>13</v>
      </c>
      <c r="G227" s="6" t="s">
        <v>14</v>
      </c>
      <c r="H227" s="7" t="s">
        <v>507</v>
      </c>
      <c r="I227" s="8">
        <f t="shared" si="1"/>
        <v>-2.1</v>
      </c>
    </row>
    <row r="228" ht="15.75" customHeight="1">
      <c r="A228" s="4" t="s">
        <v>508</v>
      </c>
      <c r="B228" s="5">
        <v>179.0</v>
      </c>
      <c r="C228" s="6" t="s">
        <v>10</v>
      </c>
      <c r="D228" s="6" t="s">
        <v>509</v>
      </c>
      <c r="E228" s="6" t="s">
        <v>20</v>
      </c>
      <c r="F228" s="6" t="s">
        <v>13</v>
      </c>
      <c r="G228" s="6" t="s">
        <v>14</v>
      </c>
      <c r="H228" s="7" t="s">
        <v>510</v>
      </c>
      <c r="I228" s="8">
        <f t="shared" si="1"/>
        <v>-179</v>
      </c>
    </row>
    <row r="229" ht="15.75" customHeight="1">
      <c r="A229" s="4" t="s">
        <v>511</v>
      </c>
      <c r="B229" s="5">
        <v>60.0</v>
      </c>
      <c r="C229" s="6" t="s">
        <v>10</v>
      </c>
      <c r="D229" s="6" t="s">
        <v>512</v>
      </c>
      <c r="E229" s="6" t="s">
        <v>12</v>
      </c>
      <c r="F229" s="6" t="s">
        <v>13</v>
      </c>
      <c r="G229" s="6" t="s">
        <v>14</v>
      </c>
      <c r="H229" s="7" t="s">
        <v>513</v>
      </c>
      <c r="I229" s="8">
        <f t="shared" si="1"/>
        <v>-60</v>
      </c>
    </row>
    <row r="230" ht="15.75" customHeight="1">
      <c r="A230" s="4" t="s">
        <v>514</v>
      </c>
      <c r="B230" s="5">
        <v>250.0</v>
      </c>
      <c r="C230" s="6" t="s">
        <v>10</v>
      </c>
      <c r="D230" s="6" t="s">
        <v>515</v>
      </c>
      <c r="E230" s="9" t="s">
        <v>142</v>
      </c>
      <c r="F230" s="6" t="s">
        <v>13</v>
      </c>
      <c r="G230" s="9" t="s">
        <v>142</v>
      </c>
      <c r="H230" s="7" t="s">
        <v>516</v>
      </c>
      <c r="I230" s="8">
        <f t="shared" si="1"/>
        <v>-250</v>
      </c>
    </row>
    <row r="231" ht="15.75" customHeight="1">
      <c r="A231" s="4" t="s">
        <v>517</v>
      </c>
      <c r="B231" s="5">
        <v>17.92</v>
      </c>
      <c r="C231" s="6" t="s">
        <v>103</v>
      </c>
      <c r="D231" s="6" t="s">
        <v>518</v>
      </c>
      <c r="E231" s="6" t="s">
        <v>12</v>
      </c>
      <c r="F231" s="6" t="s">
        <v>13</v>
      </c>
      <c r="G231" s="6" t="s">
        <v>14</v>
      </c>
      <c r="H231" s="7" t="s">
        <v>519</v>
      </c>
      <c r="I231" s="8">
        <f t="shared" si="1"/>
        <v>-17.92</v>
      </c>
    </row>
    <row r="232" ht="15.75" customHeight="1">
      <c r="A232" s="4" t="s">
        <v>520</v>
      </c>
      <c r="B232" s="5">
        <v>37.94</v>
      </c>
      <c r="C232" s="6" t="s">
        <v>10</v>
      </c>
      <c r="D232" s="6" t="s">
        <v>90</v>
      </c>
      <c r="E232" s="6" t="s">
        <v>12</v>
      </c>
      <c r="F232" s="6" t="s">
        <v>13</v>
      </c>
      <c r="G232" s="6" t="s">
        <v>14</v>
      </c>
      <c r="H232" s="7" t="s">
        <v>521</v>
      </c>
      <c r="I232" s="8">
        <f t="shared" si="1"/>
        <v>-37.94</v>
      </c>
    </row>
    <row r="233" ht="15.75" customHeight="1">
      <c r="A233" s="4" t="s">
        <v>522</v>
      </c>
      <c r="B233" s="5">
        <v>52.0</v>
      </c>
      <c r="C233" s="6" t="s">
        <v>10</v>
      </c>
      <c r="D233" s="6" t="s">
        <v>176</v>
      </c>
      <c r="E233" s="6" t="s">
        <v>20</v>
      </c>
      <c r="F233" s="6" t="s">
        <v>13</v>
      </c>
      <c r="G233" s="6" t="s">
        <v>14</v>
      </c>
      <c r="H233" s="7" t="s">
        <v>523</v>
      </c>
      <c r="I233" s="8">
        <f t="shared" si="1"/>
        <v>-52</v>
      </c>
    </row>
    <row r="234" ht="15.75" customHeight="1">
      <c r="A234" s="4" t="s">
        <v>524</v>
      </c>
      <c r="B234" s="5">
        <v>25.2</v>
      </c>
      <c r="C234" s="6" t="s">
        <v>10</v>
      </c>
      <c r="D234" s="6" t="s">
        <v>90</v>
      </c>
      <c r="E234" s="6" t="s">
        <v>12</v>
      </c>
      <c r="F234" s="6" t="s">
        <v>13</v>
      </c>
      <c r="G234" s="6" t="s">
        <v>14</v>
      </c>
      <c r="H234" s="7" t="s">
        <v>525</v>
      </c>
      <c r="I234" s="8">
        <f t="shared" si="1"/>
        <v>-25.2</v>
      </c>
    </row>
    <row r="235" ht="15.75" customHeight="1">
      <c r="A235" s="4" t="s">
        <v>526</v>
      </c>
      <c r="B235" s="5">
        <v>20.0</v>
      </c>
      <c r="C235" s="6" t="s">
        <v>103</v>
      </c>
      <c r="D235" s="6" t="s">
        <v>106</v>
      </c>
      <c r="E235" s="6" t="s">
        <v>20</v>
      </c>
      <c r="F235" s="6" t="s">
        <v>13</v>
      </c>
      <c r="G235" s="6" t="s">
        <v>14</v>
      </c>
      <c r="H235" s="7" t="s">
        <v>527</v>
      </c>
      <c r="I235" s="8">
        <f t="shared" si="1"/>
        <v>-20</v>
      </c>
    </row>
    <row r="236" ht="15.75" customHeight="1">
      <c r="A236" s="4" t="s">
        <v>528</v>
      </c>
      <c r="B236" s="5">
        <v>19.0</v>
      </c>
      <c r="C236" s="6" t="s">
        <v>10</v>
      </c>
      <c r="D236" s="6" t="s">
        <v>82</v>
      </c>
      <c r="E236" s="6" t="s">
        <v>12</v>
      </c>
      <c r="F236" s="6" t="s">
        <v>13</v>
      </c>
      <c r="G236" s="6" t="s">
        <v>14</v>
      </c>
      <c r="H236" s="7" t="s">
        <v>529</v>
      </c>
      <c r="I236" s="8">
        <f t="shared" si="1"/>
        <v>-19</v>
      </c>
    </row>
    <row r="237" ht="15.75" customHeight="1">
      <c r="A237" s="4" t="s">
        <v>530</v>
      </c>
      <c r="B237" s="5">
        <v>27.0</v>
      </c>
      <c r="C237" s="6" t="s">
        <v>10</v>
      </c>
      <c r="D237" s="6" t="s">
        <v>82</v>
      </c>
      <c r="E237" s="6" t="s">
        <v>12</v>
      </c>
      <c r="F237" s="6" t="s">
        <v>13</v>
      </c>
      <c r="G237" s="6" t="s">
        <v>14</v>
      </c>
      <c r="H237" s="7" t="s">
        <v>531</v>
      </c>
      <c r="I237" s="8">
        <f t="shared" si="1"/>
        <v>-27</v>
      </c>
    </row>
    <row r="238" ht="15.75" customHeight="1">
      <c r="A238" s="4" t="s">
        <v>532</v>
      </c>
      <c r="B238" s="5">
        <v>493.42</v>
      </c>
      <c r="C238" s="6" t="s">
        <v>10</v>
      </c>
      <c r="D238" s="6" t="s">
        <v>533</v>
      </c>
      <c r="E238" s="6" t="s">
        <v>20</v>
      </c>
      <c r="F238" s="6" t="s">
        <v>13</v>
      </c>
      <c r="G238" s="6" t="s">
        <v>14</v>
      </c>
      <c r="H238" s="7" t="s">
        <v>534</v>
      </c>
      <c r="I238" s="8">
        <f t="shared" si="1"/>
        <v>-493.42</v>
      </c>
    </row>
    <row r="239" ht="15.75" customHeight="1">
      <c r="A239" s="4" t="s">
        <v>535</v>
      </c>
      <c r="B239" s="5">
        <v>40.0</v>
      </c>
      <c r="C239" s="6" t="s">
        <v>10</v>
      </c>
      <c r="D239" s="6" t="s">
        <v>536</v>
      </c>
      <c r="E239" s="6" t="s">
        <v>12</v>
      </c>
      <c r="F239" s="6" t="s">
        <v>13</v>
      </c>
      <c r="G239" s="6" t="s">
        <v>14</v>
      </c>
      <c r="H239" s="7" t="s">
        <v>537</v>
      </c>
      <c r="I239" s="8">
        <f t="shared" si="1"/>
        <v>-40</v>
      </c>
    </row>
    <row r="240" ht="15.75" customHeight="1">
      <c r="A240" s="4" t="s">
        <v>535</v>
      </c>
      <c r="B240" s="5">
        <v>110.0</v>
      </c>
      <c r="C240" s="6" t="s">
        <v>10</v>
      </c>
      <c r="D240" s="6" t="s">
        <v>536</v>
      </c>
      <c r="E240" s="6" t="s">
        <v>12</v>
      </c>
      <c r="F240" s="6" t="s">
        <v>13</v>
      </c>
      <c r="G240" s="6" t="s">
        <v>14</v>
      </c>
      <c r="H240" s="7" t="s">
        <v>538</v>
      </c>
      <c r="I240" s="8">
        <f t="shared" si="1"/>
        <v>-110</v>
      </c>
    </row>
    <row r="241" ht="15.75" customHeight="1">
      <c r="A241" s="4" t="s">
        <v>535</v>
      </c>
      <c r="B241" s="5">
        <v>110.0</v>
      </c>
      <c r="C241" s="6" t="s">
        <v>10</v>
      </c>
      <c r="D241" s="6" t="s">
        <v>536</v>
      </c>
      <c r="E241" s="6" t="s">
        <v>12</v>
      </c>
      <c r="F241" s="6" t="s">
        <v>13</v>
      </c>
      <c r="G241" s="6" t="s">
        <v>14</v>
      </c>
      <c r="H241" s="7" t="s">
        <v>539</v>
      </c>
      <c r="I241" s="8">
        <f t="shared" si="1"/>
        <v>-110</v>
      </c>
    </row>
    <row r="242" ht="15.75" customHeight="1">
      <c r="A242" s="4" t="s">
        <v>535</v>
      </c>
      <c r="B242" s="5">
        <v>64.0</v>
      </c>
      <c r="C242" s="6" t="s">
        <v>10</v>
      </c>
      <c r="D242" s="6" t="s">
        <v>90</v>
      </c>
      <c r="E242" s="6" t="s">
        <v>12</v>
      </c>
      <c r="F242" s="6" t="s">
        <v>13</v>
      </c>
      <c r="G242" s="6" t="s">
        <v>14</v>
      </c>
      <c r="H242" s="7" t="s">
        <v>540</v>
      </c>
      <c r="I242" s="8">
        <f t="shared" si="1"/>
        <v>-64</v>
      </c>
    </row>
    <row r="243" ht="15.75" customHeight="1">
      <c r="A243" s="4" t="s">
        <v>541</v>
      </c>
      <c r="B243" s="5">
        <v>177.0</v>
      </c>
      <c r="C243" s="6" t="s">
        <v>10</v>
      </c>
      <c r="D243" s="6" t="s">
        <v>208</v>
      </c>
      <c r="E243" s="6" t="s">
        <v>12</v>
      </c>
      <c r="F243" s="6" t="s">
        <v>13</v>
      </c>
      <c r="G243" s="6" t="s">
        <v>14</v>
      </c>
      <c r="H243" s="7" t="s">
        <v>542</v>
      </c>
      <c r="I243" s="8">
        <f t="shared" si="1"/>
        <v>-177</v>
      </c>
    </row>
    <row r="244" ht="15.75" customHeight="1">
      <c r="A244" s="4" t="s">
        <v>541</v>
      </c>
      <c r="B244" s="5">
        <v>177.0</v>
      </c>
      <c r="C244" s="6" t="s">
        <v>10</v>
      </c>
      <c r="D244" s="6" t="s">
        <v>208</v>
      </c>
      <c r="E244" s="6" t="s">
        <v>12</v>
      </c>
      <c r="F244" s="6" t="s">
        <v>13</v>
      </c>
      <c r="G244" s="6" t="s">
        <v>14</v>
      </c>
      <c r="H244" s="7" t="s">
        <v>543</v>
      </c>
      <c r="I244" s="8">
        <f t="shared" si="1"/>
        <v>-177</v>
      </c>
    </row>
    <row r="245" ht="15.75" customHeight="1">
      <c r="A245" s="4" t="s">
        <v>541</v>
      </c>
      <c r="B245" s="5">
        <v>177.0</v>
      </c>
      <c r="C245" s="6" t="s">
        <v>10</v>
      </c>
      <c r="D245" s="6" t="s">
        <v>208</v>
      </c>
      <c r="E245" s="6" t="s">
        <v>12</v>
      </c>
      <c r="F245" s="6" t="s">
        <v>13</v>
      </c>
      <c r="G245" s="6" t="s">
        <v>14</v>
      </c>
      <c r="H245" s="7" t="s">
        <v>544</v>
      </c>
      <c r="I245" s="8">
        <f t="shared" si="1"/>
        <v>-177</v>
      </c>
    </row>
    <row r="246" ht="15.75" customHeight="1">
      <c r="A246" s="4" t="s">
        <v>541</v>
      </c>
      <c r="B246" s="5">
        <v>508.0</v>
      </c>
      <c r="C246" s="6" t="s">
        <v>10</v>
      </c>
      <c r="D246" s="6" t="s">
        <v>208</v>
      </c>
      <c r="E246" s="6" t="s">
        <v>12</v>
      </c>
      <c r="F246" s="6" t="s">
        <v>13</v>
      </c>
      <c r="G246" s="6" t="s">
        <v>14</v>
      </c>
      <c r="H246" s="7" t="s">
        <v>545</v>
      </c>
      <c r="I246" s="8">
        <f t="shared" si="1"/>
        <v>-508</v>
      </c>
    </row>
    <row r="247" ht="15.75" customHeight="1">
      <c r="A247" s="4" t="s">
        <v>546</v>
      </c>
      <c r="B247" s="5">
        <v>82.25</v>
      </c>
      <c r="C247" s="6" t="s">
        <v>10</v>
      </c>
      <c r="D247" s="6" t="s">
        <v>547</v>
      </c>
      <c r="E247" s="6" t="s">
        <v>12</v>
      </c>
      <c r="F247" s="6" t="s">
        <v>13</v>
      </c>
      <c r="G247" s="6" t="s">
        <v>14</v>
      </c>
      <c r="H247" s="7" t="s">
        <v>548</v>
      </c>
      <c r="I247" s="8">
        <f t="shared" si="1"/>
        <v>-82.25</v>
      </c>
    </row>
    <row r="248" ht="15.75" customHeight="1">
      <c r="A248" s="4" t="s">
        <v>549</v>
      </c>
      <c r="B248" s="5">
        <v>14.0</v>
      </c>
      <c r="C248" s="6" t="s">
        <v>10</v>
      </c>
      <c r="D248" s="6" t="s">
        <v>550</v>
      </c>
      <c r="E248" s="6" t="s">
        <v>12</v>
      </c>
      <c r="F248" s="6" t="s">
        <v>13</v>
      </c>
      <c r="G248" s="6" t="s">
        <v>14</v>
      </c>
      <c r="H248" s="7" t="s">
        <v>551</v>
      </c>
      <c r="I248" s="8">
        <f t="shared" si="1"/>
        <v>-14</v>
      </c>
    </row>
    <row r="249" ht="15.75" customHeight="1">
      <c r="A249" s="4" t="s">
        <v>552</v>
      </c>
      <c r="B249" s="5">
        <v>4000.0</v>
      </c>
      <c r="C249" s="6" t="s">
        <v>10</v>
      </c>
      <c r="D249" s="6" t="s">
        <v>344</v>
      </c>
      <c r="E249" s="6" t="s">
        <v>38</v>
      </c>
      <c r="F249" s="6" t="s">
        <v>13</v>
      </c>
      <c r="G249" s="6" t="s">
        <v>331</v>
      </c>
      <c r="H249" s="7" t="s">
        <v>553</v>
      </c>
      <c r="I249" s="8">
        <f t="shared" si="1"/>
        <v>-4000</v>
      </c>
    </row>
    <row r="250" ht="15.75" customHeight="1">
      <c r="A250" s="4" t="s">
        <v>554</v>
      </c>
      <c r="B250" s="5">
        <v>1.36</v>
      </c>
      <c r="C250" s="6" t="s">
        <v>103</v>
      </c>
      <c r="D250" s="6" t="s">
        <v>291</v>
      </c>
      <c r="E250" s="6" t="s">
        <v>12</v>
      </c>
      <c r="F250" s="6" t="s">
        <v>13</v>
      </c>
      <c r="G250" s="6" t="s">
        <v>14</v>
      </c>
      <c r="H250" s="7" t="s">
        <v>555</v>
      </c>
      <c r="I250" s="8">
        <f t="shared" si="1"/>
        <v>-1.36</v>
      </c>
    </row>
    <row r="251" ht="15.75" customHeight="1">
      <c r="A251" s="4" t="s">
        <v>554</v>
      </c>
      <c r="B251" s="5">
        <v>46.2</v>
      </c>
      <c r="C251" s="6" t="s">
        <v>103</v>
      </c>
      <c r="D251" s="6" t="s">
        <v>347</v>
      </c>
      <c r="E251" s="6" t="s">
        <v>12</v>
      </c>
      <c r="F251" s="6" t="s">
        <v>13</v>
      </c>
      <c r="G251" s="6" t="s">
        <v>14</v>
      </c>
      <c r="H251" s="7" t="s">
        <v>556</v>
      </c>
      <c r="I251" s="8">
        <f t="shared" si="1"/>
        <v>-46.2</v>
      </c>
    </row>
    <row r="252" ht="15.75" customHeight="1">
      <c r="A252" s="4" t="s">
        <v>554</v>
      </c>
      <c r="B252" s="5">
        <v>399.0</v>
      </c>
      <c r="C252" s="6" t="s">
        <v>10</v>
      </c>
      <c r="D252" s="6" t="s">
        <v>557</v>
      </c>
      <c r="E252" s="6" t="s">
        <v>12</v>
      </c>
      <c r="F252" s="6" t="s">
        <v>13</v>
      </c>
      <c r="G252" s="6" t="s">
        <v>14</v>
      </c>
      <c r="H252" s="7" t="s">
        <v>558</v>
      </c>
      <c r="I252" s="8">
        <f t="shared" si="1"/>
        <v>-399</v>
      </c>
    </row>
    <row r="253" ht="15.75" customHeight="1">
      <c r="A253" s="4" t="s">
        <v>554</v>
      </c>
      <c r="B253" s="5">
        <v>138.0</v>
      </c>
      <c r="C253" s="6" t="s">
        <v>10</v>
      </c>
      <c r="D253" s="6" t="s">
        <v>559</v>
      </c>
      <c r="E253" s="6" t="s">
        <v>12</v>
      </c>
      <c r="F253" s="6" t="s">
        <v>13</v>
      </c>
      <c r="G253" s="6" t="s">
        <v>14</v>
      </c>
      <c r="H253" s="7" t="s">
        <v>560</v>
      </c>
      <c r="I253" s="8">
        <f t="shared" si="1"/>
        <v>-138</v>
      </c>
    </row>
    <row r="254" ht="15.75" customHeight="1">
      <c r="A254" s="4" t="s">
        <v>561</v>
      </c>
      <c r="B254" s="5">
        <v>125.0</v>
      </c>
      <c r="C254" s="6" t="s">
        <v>10</v>
      </c>
      <c r="D254" s="6" t="s">
        <v>77</v>
      </c>
      <c r="E254" s="6" t="s">
        <v>12</v>
      </c>
      <c r="F254" s="6" t="s">
        <v>13</v>
      </c>
      <c r="G254" s="6" t="s">
        <v>14</v>
      </c>
      <c r="H254" s="7" t="s">
        <v>562</v>
      </c>
      <c r="I254" s="8">
        <f t="shared" si="1"/>
        <v>-125</v>
      </c>
    </row>
    <row r="255" ht="15.75" customHeight="1">
      <c r="A255" s="4" t="s">
        <v>563</v>
      </c>
      <c r="B255" s="5">
        <v>59.81</v>
      </c>
      <c r="C255" s="6" t="s">
        <v>10</v>
      </c>
      <c r="D255" s="6" t="s">
        <v>564</v>
      </c>
      <c r="E255" s="6" t="s">
        <v>12</v>
      </c>
      <c r="F255" s="6" t="s">
        <v>13</v>
      </c>
      <c r="G255" s="6" t="s">
        <v>14</v>
      </c>
      <c r="H255" s="7" t="s">
        <v>565</v>
      </c>
      <c r="I255" s="8">
        <f t="shared" si="1"/>
        <v>-59.81</v>
      </c>
    </row>
    <row r="256" ht="15.75" customHeight="1">
      <c r="A256" s="4" t="s">
        <v>566</v>
      </c>
      <c r="B256" s="5">
        <v>105.0</v>
      </c>
      <c r="C256" s="6" t="s">
        <v>10</v>
      </c>
      <c r="D256" s="6" t="s">
        <v>567</v>
      </c>
      <c r="E256" s="6" t="s">
        <v>12</v>
      </c>
      <c r="F256" s="6" t="s">
        <v>13</v>
      </c>
      <c r="G256" s="6" t="s">
        <v>14</v>
      </c>
      <c r="H256" s="7" t="s">
        <v>568</v>
      </c>
      <c r="I256" s="8">
        <f t="shared" si="1"/>
        <v>-105</v>
      </c>
    </row>
    <row r="257" ht="15.75" customHeight="1">
      <c r="A257" s="4" t="s">
        <v>569</v>
      </c>
      <c r="B257" s="5">
        <v>1.0</v>
      </c>
      <c r="C257" s="6" t="s">
        <v>10</v>
      </c>
      <c r="D257" s="6" t="s">
        <v>570</v>
      </c>
      <c r="E257" s="6" t="s">
        <v>12</v>
      </c>
      <c r="F257" s="6" t="s">
        <v>13</v>
      </c>
      <c r="G257" s="6" t="s">
        <v>14</v>
      </c>
      <c r="H257" s="7" t="s">
        <v>571</v>
      </c>
      <c r="I257" s="8">
        <f t="shared" si="1"/>
        <v>-1</v>
      </c>
    </row>
    <row r="258" ht="15.75" customHeight="1">
      <c r="A258" s="4" t="s">
        <v>569</v>
      </c>
      <c r="B258" s="5">
        <v>3653.0</v>
      </c>
      <c r="C258" s="6" t="s">
        <v>10</v>
      </c>
      <c r="D258" s="6" t="s">
        <v>388</v>
      </c>
      <c r="E258" s="6" t="s">
        <v>20</v>
      </c>
      <c r="F258" s="6" t="s">
        <v>13</v>
      </c>
      <c r="G258" s="6" t="s">
        <v>14</v>
      </c>
      <c r="H258" s="7" t="s">
        <v>572</v>
      </c>
      <c r="I258" s="8">
        <f t="shared" si="1"/>
        <v>-3653</v>
      </c>
    </row>
    <row r="259" ht="15.75" customHeight="1">
      <c r="A259" s="4" t="s">
        <v>569</v>
      </c>
      <c r="B259" s="5">
        <v>44.0</v>
      </c>
      <c r="C259" s="6" t="s">
        <v>10</v>
      </c>
      <c r="D259" s="6" t="s">
        <v>423</v>
      </c>
      <c r="E259" s="6" t="s">
        <v>12</v>
      </c>
      <c r="F259" s="6" t="s">
        <v>13</v>
      </c>
      <c r="G259" s="6" t="s">
        <v>14</v>
      </c>
      <c r="H259" s="7" t="s">
        <v>573</v>
      </c>
      <c r="I259" s="8">
        <f t="shared" si="1"/>
        <v>-44</v>
      </c>
    </row>
    <row r="260" ht="15.75" customHeight="1">
      <c r="A260" s="4" t="s">
        <v>574</v>
      </c>
      <c r="B260" s="5">
        <v>72.45</v>
      </c>
      <c r="C260" s="6" t="s">
        <v>10</v>
      </c>
      <c r="D260" s="6" t="s">
        <v>575</v>
      </c>
      <c r="E260" s="6" t="s">
        <v>20</v>
      </c>
      <c r="F260" s="6" t="s">
        <v>13</v>
      </c>
      <c r="G260" s="6" t="s">
        <v>14</v>
      </c>
      <c r="H260" s="7" t="s">
        <v>576</v>
      </c>
      <c r="I260" s="8">
        <f t="shared" si="1"/>
        <v>-72.45</v>
      </c>
    </row>
    <row r="261" ht="15.75" customHeight="1">
      <c r="A261" s="4" t="s">
        <v>574</v>
      </c>
      <c r="B261" s="5">
        <v>242.0</v>
      </c>
      <c r="C261" s="6" t="s">
        <v>10</v>
      </c>
      <c r="D261" s="6" t="s">
        <v>577</v>
      </c>
      <c r="E261" s="6" t="s">
        <v>20</v>
      </c>
      <c r="F261" s="6" t="s">
        <v>13</v>
      </c>
      <c r="G261" s="6" t="s">
        <v>14</v>
      </c>
      <c r="H261" s="7" t="s">
        <v>578</v>
      </c>
      <c r="I261" s="8">
        <f t="shared" si="1"/>
        <v>-242</v>
      </c>
    </row>
    <row r="262" ht="15.75" customHeight="1">
      <c r="A262" s="4" t="s">
        <v>579</v>
      </c>
      <c r="B262" s="5">
        <v>19.0</v>
      </c>
      <c r="C262" s="6" t="s">
        <v>10</v>
      </c>
      <c r="D262" s="6" t="s">
        <v>23</v>
      </c>
      <c r="E262" s="6" t="s">
        <v>20</v>
      </c>
      <c r="F262" s="6" t="s">
        <v>13</v>
      </c>
      <c r="G262" s="6" t="s">
        <v>14</v>
      </c>
      <c r="H262" s="7" t="s">
        <v>580</v>
      </c>
      <c r="I262" s="8">
        <f t="shared" si="1"/>
        <v>-19</v>
      </c>
    </row>
    <row r="263" ht="15.75" customHeight="1">
      <c r="A263" s="4" t="s">
        <v>581</v>
      </c>
      <c r="B263" s="5">
        <v>90.3</v>
      </c>
      <c r="C263" s="6" t="s">
        <v>10</v>
      </c>
      <c r="D263" s="6" t="s">
        <v>90</v>
      </c>
      <c r="E263" s="6" t="s">
        <v>20</v>
      </c>
      <c r="F263" s="6" t="s">
        <v>13</v>
      </c>
      <c r="G263" s="6" t="s">
        <v>14</v>
      </c>
      <c r="H263" s="7" t="s">
        <v>582</v>
      </c>
      <c r="I263" s="8">
        <f t="shared" si="1"/>
        <v>-90.3</v>
      </c>
    </row>
    <row r="264" ht="15.75" customHeight="1">
      <c r="A264" s="4" t="s">
        <v>581</v>
      </c>
      <c r="B264" s="5">
        <v>3.0</v>
      </c>
      <c r="C264" s="6" t="s">
        <v>10</v>
      </c>
      <c r="D264" s="6" t="s">
        <v>583</v>
      </c>
      <c r="E264" s="6" t="s">
        <v>20</v>
      </c>
      <c r="F264" s="6" t="s">
        <v>13</v>
      </c>
      <c r="G264" s="6" t="s">
        <v>14</v>
      </c>
      <c r="H264" s="7" t="s">
        <v>584</v>
      </c>
      <c r="I264" s="8">
        <f t="shared" si="1"/>
        <v>-3</v>
      </c>
    </row>
    <row r="265" ht="15.75" customHeight="1">
      <c r="A265" s="4" t="s">
        <v>585</v>
      </c>
      <c r="B265" s="5">
        <v>3000.0</v>
      </c>
      <c r="C265" s="6" t="s">
        <v>10</v>
      </c>
      <c r="D265" s="6" t="s">
        <v>586</v>
      </c>
      <c r="E265" s="6" t="s">
        <v>38</v>
      </c>
      <c r="F265" s="6" t="s">
        <v>13</v>
      </c>
      <c r="G265" s="6" t="s">
        <v>331</v>
      </c>
      <c r="H265" s="7" t="s">
        <v>587</v>
      </c>
      <c r="I265" s="8">
        <f t="shared" si="1"/>
        <v>-3000</v>
      </c>
    </row>
    <row r="266" ht="15.75" customHeight="1">
      <c r="A266" s="4" t="s">
        <v>588</v>
      </c>
      <c r="B266" s="5">
        <v>18000.0</v>
      </c>
      <c r="C266" s="6" t="s">
        <v>10</v>
      </c>
      <c r="D266" s="6" t="s">
        <v>350</v>
      </c>
      <c r="E266" s="6" t="s">
        <v>350</v>
      </c>
      <c r="F266" s="6" t="s">
        <v>39</v>
      </c>
      <c r="G266" s="6" t="s">
        <v>40</v>
      </c>
      <c r="H266" s="7" t="s">
        <v>589</v>
      </c>
      <c r="I266" s="8">
        <f t="shared" si="1"/>
        <v>18000</v>
      </c>
    </row>
    <row r="267" ht="15.75" customHeight="1">
      <c r="A267" s="10">
        <v>46051.54790509259</v>
      </c>
      <c r="B267" s="11">
        <v>1527.0</v>
      </c>
      <c r="C267" s="12" t="s">
        <v>10</v>
      </c>
      <c r="D267" s="12" t="s">
        <v>586</v>
      </c>
      <c r="E267" s="12" t="s">
        <v>38</v>
      </c>
      <c r="F267" s="12" t="s">
        <v>13</v>
      </c>
      <c r="G267" s="12" t="s">
        <v>331</v>
      </c>
      <c r="H267" s="13" t="s">
        <v>590</v>
      </c>
      <c r="I267" s="8">
        <f t="shared" si="1"/>
        <v>-1527</v>
      </c>
    </row>
    <row r="268" ht="15.75" customHeight="1">
      <c r="A268" s="10">
        <v>46051.39996527778</v>
      </c>
      <c r="B268" s="11">
        <v>47.0</v>
      </c>
      <c r="C268" s="12" t="s">
        <v>10</v>
      </c>
      <c r="D268" s="12">
        <v>3.3413435E7</v>
      </c>
      <c r="E268" s="12" t="s">
        <v>38</v>
      </c>
      <c r="F268" s="12" t="s">
        <v>39</v>
      </c>
      <c r="G268" s="12" t="s">
        <v>40</v>
      </c>
      <c r="H268" s="13" t="s">
        <v>591</v>
      </c>
      <c r="I268" s="8">
        <f t="shared" si="1"/>
        <v>47</v>
      </c>
    </row>
    <row r="269" ht="15.75" customHeight="1">
      <c r="A269" s="10">
        <v>46051.367685185185</v>
      </c>
      <c r="B269" s="11">
        <v>250.0</v>
      </c>
      <c r="C269" s="12" t="s">
        <v>10</v>
      </c>
      <c r="D269" s="12" t="s">
        <v>344</v>
      </c>
      <c r="E269" s="12" t="s">
        <v>38</v>
      </c>
      <c r="F269" s="12" t="s">
        <v>13</v>
      </c>
      <c r="G269" s="12" t="s">
        <v>331</v>
      </c>
      <c r="H269" s="13" t="s">
        <v>592</v>
      </c>
      <c r="I269" s="8">
        <f t="shared" si="1"/>
        <v>-250</v>
      </c>
    </row>
    <row r="270" ht="15.75" customHeight="1">
      <c r="A270" s="10">
        <v>46051.35496527778</v>
      </c>
      <c r="B270" s="11">
        <v>150.0</v>
      </c>
      <c r="C270" s="12" t="s">
        <v>10</v>
      </c>
      <c r="D270" s="12" t="s">
        <v>64</v>
      </c>
      <c r="E270" s="12" t="s">
        <v>12</v>
      </c>
      <c r="F270" s="12" t="s">
        <v>13</v>
      </c>
      <c r="G270" s="12" t="s">
        <v>14</v>
      </c>
      <c r="H270" s="13" t="s">
        <v>593</v>
      </c>
      <c r="I270" s="8">
        <f t="shared" si="1"/>
        <v>-150</v>
      </c>
    </row>
    <row r="271" ht="15.75" customHeight="1">
      <c r="A271" s="10">
        <v>46051.31474537037</v>
      </c>
      <c r="B271" s="11">
        <v>130.0</v>
      </c>
      <c r="C271" s="12" t="s">
        <v>10</v>
      </c>
      <c r="D271" s="12" t="s">
        <v>208</v>
      </c>
      <c r="E271" s="12" t="s">
        <v>12</v>
      </c>
      <c r="F271" s="12" t="s">
        <v>13</v>
      </c>
      <c r="G271" s="12" t="s">
        <v>14</v>
      </c>
      <c r="H271" s="13" t="s">
        <v>594</v>
      </c>
      <c r="I271" s="8">
        <f t="shared" si="1"/>
        <v>-130</v>
      </c>
    </row>
    <row r="272" ht="15.75" customHeight="1">
      <c r="A272" s="10">
        <v>46050.374918981484</v>
      </c>
      <c r="B272" s="11">
        <v>1500.0</v>
      </c>
      <c r="C272" s="12" t="s">
        <v>10</v>
      </c>
      <c r="D272" s="12" t="s">
        <v>586</v>
      </c>
      <c r="E272" s="12" t="s">
        <v>38</v>
      </c>
      <c r="F272" s="12" t="s">
        <v>13</v>
      </c>
      <c r="G272" s="12" t="s">
        <v>331</v>
      </c>
      <c r="H272" s="13" t="s">
        <v>595</v>
      </c>
      <c r="I272" s="8">
        <f t="shared" si="1"/>
        <v>-1500</v>
      </c>
    </row>
    <row r="273" ht="15.75" customHeight="1">
      <c r="A273" s="10">
        <v>46050.36111111111</v>
      </c>
      <c r="B273" s="11">
        <v>400.0</v>
      </c>
      <c r="C273" s="12" t="s">
        <v>10</v>
      </c>
      <c r="D273" s="12">
        <v>5.0371822E7</v>
      </c>
      <c r="E273" s="12" t="s">
        <v>38</v>
      </c>
      <c r="F273" s="12" t="s">
        <v>39</v>
      </c>
      <c r="G273" s="12" t="s">
        <v>40</v>
      </c>
      <c r="H273" s="13" t="s">
        <v>596</v>
      </c>
      <c r="I273" s="8">
        <f t="shared" si="1"/>
        <v>400</v>
      </c>
    </row>
    <row r="274" ht="15.75" customHeight="1">
      <c r="A274" s="10">
        <v>46050.354166666664</v>
      </c>
      <c r="B274" s="11">
        <v>125.0</v>
      </c>
      <c r="C274" s="12" t="s">
        <v>10</v>
      </c>
      <c r="D274" s="12" t="s">
        <v>256</v>
      </c>
      <c r="E274" s="12" t="s">
        <v>38</v>
      </c>
      <c r="F274" s="12" t="s">
        <v>39</v>
      </c>
      <c r="G274" s="12" t="s">
        <v>40</v>
      </c>
      <c r="H274" s="13" t="s">
        <v>597</v>
      </c>
      <c r="I274" s="8">
        <f t="shared" si="1"/>
        <v>125</v>
      </c>
    </row>
    <row r="275" ht="15.75" customHeight="1">
      <c r="A275" s="10">
        <v>46050.34375</v>
      </c>
      <c r="B275" s="11">
        <v>350.0</v>
      </c>
      <c r="C275" s="12" t="s">
        <v>10</v>
      </c>
      <c r="D275" s="12">
        <v>3.3131126E7</v>
      </c>
      <c r="E275" s="12" t="s">
        <v>38</v>
      </c>
      <c r="F275" s="12" t="s">
        <v>39</v>
      </c>
      <c r="G275" s="12" t="s">
        <v>40</v>
      </c>
      <c r="H275" s="13" t="s">
        <v>598</v>
      </c>
      <c r="I275" s="8">
        <f t="shared" si="1"/>
        <v>350</v>
      </c>
    </row>
    <row r="276" ht="15.75" customHeight="1">
      <c r="A276" s="10">
        <v>46050.333333333336</v>
      </c>
      <c r="B276" s="11">
        <v>120.0</v>
      </c>
      <c r="C276" s="12" t="s">
        <v>10</v>
      </c>
      <c r="D276" s="12">
        <v>3.1645649E7</v>
      </c>
      <c r="E276" s="12" t="s">
        <v>38</v>
      </c>
      <c r="F276" s="12" t="s">
        <v>39</v>
      </c>
      <c r="G276" s="12" t="s">
        <v>40</v>
      </c>
      <c r="H276" s="13" t="s">
        <v>599</v>
      </c>
      <c r="I276" s="8">
        <f t="shared" si="1"/>
        <v>120</v>
      </c>
    </row>
    <row r="277" ht="15.75" customHeight="1">
      <c r="A277" s="10">
        <v>46050.32777777778</v>
      </c>
      <c r="B277" s="11">
        <v>325.0</v>
      </c>
      <c r="C277" s="12" t="s">
        <v>10</v>
      </c>
      <c r="D277" s="12" t="s">
        <v>226</v>
      </c>
      <c r="E277" s="12" t="s">
        <v>38</v>
      </c>
      <c r="F277" s="12" t="s">
        <v>39</v>
      </c>
      <c r="G277" s="12" t="s">
        <v>40</v>
      </c>
      <c r="H277" s="13" t="s">
        <v>600</v>
      </c>
      <c r="I277" s="8">
        <f t="shared" si="1"/>
        <v>325</v>
      </c>
    </row>
    <row r="278" ht="15.75" customHeight="1">
      <c r="A278" s="10">
        <v>46050.275</v>
      </c>
      <c r="B278" s="11">
        <v>27.0</v>
      </c>
      <c r="C278" s="12" t="s">
        <v>10</v>
      </c>
      <c r="D278" s="12" t="s">
        <v>82</v>
      </c>
      <c r="E278" s="12" t="s">
        <v>12</v>
      </c>
      <c r="F278" s="12" t="s">
        <v>13</v>
      </c>
      <c r="G278" s="12" t="s">
        <v>14</v>
      </c>
      <c r="H278" s="13" t="s">
        <v>601</v>
      </c>
      <c r="I278" s="8">
        <f t="shared" si="1"/>
        <v>-27</v>
      </c>
    </row>
    <row r="279" ht="15.75" customHeight="1">
      <c r="A279" s="10">
        <v>46050.229166666664</v>
      </c>
      <c r="B279" s="11">
        <v>125.0</v>
      </c>
      <c r="C279" s="12" t="s">
        <v>10</v>
      </c>
      <c r="D279" s="12">
        <v>3.3413435E7</v>
      </c>
      <c r="E279" s="12" t="s">
        <v>38</v>
      </c>
      <c r="F279" s="12" t="s">
        <v>39</v>
      </c>
      <c r="G279" s="12" t="s">
        <v>40</v>
      </c>
      <c r="H279" s="13" t="s">
        <v>602</v>
      </c>
      <c r="I279" s="8">
        <f t="shared" si="1"/>
        <v>125</v>
      </c>
    </row>
    <row r="280" ht="15.75" customHeight="1">
      <c r="A280" s="10">
        <v>46050.17444444444</v>
      </c>
      <c r="B280" s="11">
        <v>4000.0</v>
      </c>
      <c r="C280" s="12" t="s">
        <v>10</v>
      </c>
      <c r="D280" s="12" t="s">
        <v>586</v>
      </c>
      <c r="E280" s="12" t="s">
        <v>38</v>
      </c>
      <c r="F280" s="12" t="s">
        <v>13</v>
      </c>
      <c r="G280" s="12" t="s">
        <v>331</v>
      </c>
      <c r="H280" s="13" t="s">
        <v>603</v>
      </c>
      <c r="I280" s="8">
        <f t="shared" si="1"/>
        <v>-4000</v>
      </c>
    </row>
    <row r="281" ht="15.75" customHeight="1">
      <c r="A281" s="10">
        <v>46049.82847222222</v>
      </c>
      <c r="B281" s="11">
        <v>160.0</v>
      </c>
      <c r="C281" s="12" t="s">
        <v>10</v>
      </c>
      <c r="D281" s="12" t="s">
        <v>604</v>
      </c>
      <c r="E281" s="12" t="s">
        <v>20</v>
      </c>
      <c r="F281" s="12" t="s">
        <v>13</v>
      </c>
      <c r="G281" s="12" t="s">
        <v>14</v>
      </c>
      <c r="H281" s="13" t="s">
        <v>605</v>
      </c>
      <c r="I281" s="8">
        <f t="shared" si="1"/>
        <v>-160</v>
      </c>
    </row>
    <row r="282" ht="15.75" customHeight="1">
      <c r="A282" s="10">
        <v>46049.751388888886</v>
      </c>
      <c r="B282" s="11">
        <v>429.0</v>
      </c>
      <c r="C282" s="12" t="s">
        <v>10</v>
      </c>
      <c r="D282" s="12" t="s">
        <v>606</v>
      </c>
      <c r="E282" s="12" t="s">
        <v>20</v>
      </c>
      <c r="F282" s="12" t="s">
        <v>13</v>
      </c>
      <c r="G282" s="12" t="s">
        <v>14</v>
      </c>
      <c r="H282" s="13" t="s">
        <v>607</v>
      </c>
      <c r="I282" s="8">
        <f t="shared" si="1"/>
        <v>-429</v>
      </c>
    </row>
    <row r="283" ht="15.75" customHeight="1">
      <c r="A283" s="10">
        <v>46049.583333333336</v>
      </c>
      <c r="B283" s="11">
        <v>79.0</v>
      </c>
      <c r="C283" s="12" t="s">
        <v>346</v>
      </c>
      <c r="D283" s="14" t="s">
        <v>347</v>
      </c>
      <c r="E283" s="12" t="s">
        <v>20</v>
      </c>
      <c r="F283" s="12" t="s">
        <v>13</v>
      </c>
      <c r="G283" s="12" t="s">
        <v>14</v>
      </c>
      <c r="H283" s="13" t="s">
        <v>608</v>
      </c>
      <c r="I283" s="8">
        <f t="shared" si="1"/>
        <v>-79</v>
      </c>
    </row>
    <row r="284" ht="15.75" customHeight="1">
      <c r="A284" s="10">
        <v>46049.5625</v>
      </c>
      <c r="B284" s="11">
        <v>65.0</v>
      </c>
      <c r="C284" s="12" t="s">
        <v>10</v>
      </c>
      <c r="D284" s="12" t="s">
        <v>609</v>
      </c>
      <c r="E284" s="12" t="s">
        <v>20</v>
      </c>
      <c r="F284" s="12" t="s">
        <v>13</v>
      </c>
      <c r="G284" s="12" t="s">
        <v>14</v>
      </c>
      <c r="H284" s="13" t="s">
        <v>610</v>
      </c>
      <c r="I284" s="8">
        <f t="shared" si="1"/>
        <v>-65</v>
      </c>
    </row>
    <row r="285" ht="15.75" customHeight="1">
      <c r="A285" s="10">
        <v>46049.541666666664</v>
      </c>
      <c r="B285" s="11">
        <v>18000.0</v>
      </c>
      <c r="C285" s="12" t="s">
        <v>10</v>
      </c>
      <c r="D285" s="12" t="s">
        <v>350</v>
      </c>
      <c r="E285" s="12" t="s">
        <v>350</v>
      </c>
      <c r="F285" s="12" t="s">
        <v>39</v>
      </c>
      <c r="G285" s="12" t="s">
        <v>40</v>
      </c>
      <c r="H285" s="13" t="s">
        <v>611</v>
      </c>
      <c r="I285" s="8">
        <f t="shared" si="1"/>
        <v>18000</v>
      </c>
    </row>
    <row r="286" ht="15.75" customHeight="1">
      <c r="A286" s="10">
        <v>46049.5375</v>
      </c>
      <c r="B286" s="11">
        <v>5.0</v>
      </c>
      <c r="C286" s="12" t="s">
        <v>10</v>
      </c>
      <c r="D286" s="12" t="s">
        <v>609</v>
      </c>
      <c r="E286" s="12" t="s">
        <v>20</v>
      </c>
      <c r="F286" s="12" t="s">
        <v>13</v>
      </c>
      <c r="G286" s="12" t="s">
        <v>14</v>
      </c>
      <c r="H286" s="13" t="s">
        <v>612</v>
      </c>
      <c r="I286" s="8">
        <f t="shared" si="1"/>
        <v>-5</v>
      </c>
    </row>
    <row r="287" ht="15.75" customHeight="1">
      <c r="A287" s="10">
        <v>46048.995833333334</v>
      </c>
      <c r="B287" s="11">
        <v>8.96</v>
      </c>
      <c r="C287" s="12" t="s">
        <v>10</v>
      </c>
      <c r="D287" s="12" t="s">
        <v>58</v>
      </c>
      <c r="E287" s="12" t="s">
        <v>12</v>
      </c>
      <c r="F287" s="12" t="s">
        <v>13</v>
      </c>
      <c r="G287" s="12" t="s">
        <v>14</v>
      </c>
      <c r="H287" s="13" t="s">
        <v>613</v>
      </c>
      <c r="I287" s="8">
        <f t="shared" si="1"/>
        <v>-8.96</v>
      </c>
    </row>
    <row r="288" ht="15.75" customHeight="1">
      <c r="A288" s="10">
        <v>46048.739583333336</v>
      </c>
      <c r="B288" s="11">
        <v>18.95</v>
      </c>
      <c r="C288" s="12" t="s">
        <v>10</v>
      </c>
      <c r="D288" s="12" t="s">
        <v>17</v>
      </c>
      <c r="E288" s="12" t="s">
        <v>12</v>
      </c>
      <c r="F288" s="12" t="s">
        <v>13</v>
      </c>
      <c r="G288" s="12" t="s">
        <v>14</v>
      </c>
      <c r="H288" s="13" t="s">
        <v>614</v>
      </c>
      <c r="I288" s="8">
        <f t="shared" si="1"/>
        <v>-18.95</v>
      </c>
    </row>
    <row r="289" ht="15.75" customHeight="1">
      <c r="A289" s="15">
        <v>46051.67364583333</v>
      </c>
      <c r="B289" s="11">
        <v>7.95</v>
      </c>
      <c r="C289" s="12" t="s">
        <v>10</v>
      </c>
      <c r="D289" s="12" t="s">
        <v>17</v>
      </c>
      <c r="E289" s="12" t="s">
        <v>12</v>
      </c>
      <c r="F289" s="12" t="s">
        <v>13</v>
      </c>
      <c r="G289" s="12" t="s">
        <v>14</v>
      </c>
      <c r="H289" s="13" t="s">
        <v>615</v>
      </c>
      <c r="I289" s="8">
        <f t="shared" si="1"/>
        <v>-7.95</v>
      </c>
    </row>
    <row r="290" ht="15.75" customHeight="1">
      <c r="A290" s="15">
        <v>46051.884305555555</v>
      </c>
      <c r="B290" s="11">
        <v>31.94</v>
      </c>
      <c r="C290" s="12" t="s">
        <v>10</v>
      </c>
      <c r="D290" s="12" t="s">
        <v>58</v>
      </c>
      <c r="E290" s="12" t="s">
        <v>12</v>
      </c>
      <c r="F290" s="12" t="s">
        <v>13</v>
      </c>
      <c r="G290" s="12" t="s">
        <v>14</v>
      </c>
      <c r="H290" s="13" t="s">
        <v>616</v>
      </c>
      <c r="I290" s="8">
        <f t="shared" si="1"/>
        <v>-31.94</v>
      </c>
    </row>
    <row r="291" ht="15.75" customHeight="1">
      <c r="A291" s="15">
        <v>46051.89666666667</v>
      </c>
      <c r="B291" s="11">
        <v>5.94</v>
      </c>
      <c r="C291" s="12" t="s">
        <v>10</v>
      </c>
      <c r="D291" s="12" t="s">
        <v>17</v>
      </c>
      <c r="E291" s="12" t="s">
        <v>12</v>
      </c>
      <c r="F291" s="12" t="s">
        <v>13</v>
      </c>
      <c r="G291" s="12" t="s">
        <v>14</v>
      </c>
      <c r="H291" s="13" t="s">
        <v>617</v>
      </c>
      <c r="I291" s="8">
        <f t="shared" si="1"/>
        <v>-5.94</v>
      </c>
    </row>
    <row r="292" ht="15.75" customHeight="1">
      <c r="A292" s="15">
        <v>46051.92333333333</v>
      </c>
      <c r="B292" s="11">
        <v>480.0</v>
      </c>
      <c r="C292" s="12" t="s">
        <v>10</v>
      </c>
      <c r="D292" s="12" t="s">
        <v>618</v>
      </c>
      <c r="E292" s="12" t="s">
        <v>20</v>
      </c>
      <c r="F292" s="12" t="s">
        <v>13</v>
      </c>
      <c r="G292" s="12" t="s">
        <v>14</v>
      </c>
      <c r="H292" s="13" t="s">
        <v>619</v>
      </c>
      <c r="I292" s="8">
        <f t="shared" si="1"/>
        <v>-480</v>
      </c>
    </row>
    <row r="293" ht="15.75" customHeight="1">
      <c r="A293" s="15">
        <v>46051.941979166666</v>
      </c>
      <c r="B293" s="11">
        <v>135.0</v>
      </c>
      <c r="C293" s="12" t="s">
        <v>10</v>
      </c>
      <c r="D293" s="12" t="s">
        <v>620</v>
      </c>
      <c r="E293" s="12" t="s">
        <v>20</v>
      </c>
      <c r="F293" s="12" t="s">
        <v>13</v>
      </c>
      <c r="G293" s="12" t="s">
        <v>14</v>
      </c>
      <c r="H293" s="13" t="s">
        <v>621</v>
      </c>
      <c r="I293" s="8">
        <f t="shared" si="1"/>
        <v>-135</v>
      </c>
    </row>
    <row r="294" ht="15.75" customHeight="1">
      <c r="A294" s="15">
        <v>46051.961701388886</v>
      </c>
      <c r="B294" s="11">
        <v>255.0</v>
      </c>
      <c r="C294" s="12" t="s">
        <v>10</v>
      </c>
      <c r="D294" s="12" t="s">
        <v>618</v>
      </c>
      <c r="E294" s="12" t="s">
        <v>20</v>
      </c>
      <c r="F294" s="12" t="s">
        <v>13</v>
      </c>
      <c r="G294" s="12" t="s">
        <v>14</v>
      </c>
      <c r="H294" s="13" t="s">
        <v>622</v>
      </c>
      <c r="I294" s="8">
        <f t="shared" si="1"/>
        <v>-255</v>
      </c>
    </row>
    <row r="295" ht="15.75" customHeight="1">
      <c r="A295" s="15">
        <v>46051.97792824074</v>
      </c>
      <c r="B295" s="11">
        <v>12.99</v>
      </c>
      <c r="C295" s="12" t="s">
        <v>10</v>
      </c>
      <c r="D295" s="12" t="s">
        <v>58</v>
      </c>
      <c r="E295" s="12" t="s">
        <v>12</v>
      </c>
      <c r="F295" s="12" t="s">
        <v>13</v>
      </c>
      <c r="G295" s="12" t="s">
        <v>14</v>
      </c>
      <c r="H295" s="13" t="s">
        <v>623</v>
      </c>
      <c r="I295" s="8">
        <f t="shared" si="1"/>
        <v>-12.99</v>
      </c>
    </row>
    <row r="296" ht="15.75" customHeight="1">
      <c r="A296" s="15">
        <v>46051.98148148148</v>
      </c>
      <c r="B296" s="11">
        <v>39.93</v>
      </c>
      <c r="C296" s="12" t="s">
        <v>10</v>
      </c>
      <c r="D296" s="12" t="s">
        <v>17</v>
      </c>
      <c r="E296" s="12" t="s">
        <v>12</v>
      </c>
      <c r="F296" s="12" t="s">
        <v>13</v>
      </c>
      <c r="G296" s="12" t="s">
        <v>14</v>
      </c>
      <c r="H296" s="13" t="s">
        <v>624</v>
      </c>
      <c r="I296" s="8">
        <f t="shared" si="1"/>
        <v>-39.93</v>
      </c>
    </row>
    <row r="297" ht="15.75" customHeight="1">
      <c r="A297" s="15">
        <v>46052.346655092595</v>
      </c>
      <c r="B297" s="11">
        <v>24.96</v>
      </c>
      <c r="C297" s="12" t="s">
        <v>10</v>
      </c>
      <c r="D297" s="12" t="s">
        <v>17</v>
      </c>
      <c r="E297" s="12" t="s">
        <v>12</v>
      </c>
      <c r="F297" s="12" t="s">
        <v>13</v>
      </c>
      <c r="G297" s="12" t="s">
        <v>14</v>
      </c>
      <c r="H297" s="13" t="s">
        <v>625</v>
      </c>
      <c r="I297" s="8">
        <f t="shared" si="1"/>
        <v>-24.96</v>
      </c>
    </row>
    <row r="298" ht="15.75" customHeight="1">
      <c r="A298" s="15">
        <v>46052.3471412037</v>
      </c>
      <c r="B298" s="11">
        <v>1.15</v>
      </c>
      <c r="C298" s="12" t="s">
        <v>10</v>
      </c>
      <c r="D298" s="12" t="s">
        <v>58</v>
      </c>
      <c r="E298" s="12" t="s">
        <v>12</v>
      </c>
      <c r="F298" s="12" t="s">
        <v>13</v>
      </c>
      <c r="G298" s="12" t="s">
        <v>14</v>
      </c>
      <c r="H298" s="13" t="s">
        <v>626</v>
      </c>
      <c r="I298" s="8">
        <f t="shared" si="1"/>
        <v>-1.15</v>
      </c>
    </row>
    <row r="299" ht="15.75" customHeight="1">
      <c r="A299" s="15">
        <v>46052.3484837963</v>
      </c>
      <c r="B299" s="11">
        <v>309.0</v>
      </c>
      <c r="C299" s="12" t="s">
        <v>10</v>
      </c>
      <c r="D299" s="12" t="s">
        <v>299</v>
      </c>
      <c r="E299" s="12" t="s">
        <v>20</v>
      </c>
      <c r="F299" s="12" t="s">
        <v>13</v>
      </c>
      <c r="G299" s="12" t="s">
        <v>14</v>
      </c>
      <c r="H299" s="13" t="s">
        <v>627</v>
      </c>
      <c r="I299" s="8">
        <f t="shared" si="1"/>
        <v>-309</v>
      </c>
    </row>
    <row r="300" ht="15.75" customHeight="1">
      <c r="A300" s="15">
        <v>46052.35270833333</v>
      </c>
      <c r="B300" s="11">
        <v>30.93</v>
      </c>
      <c r="C300" s="12" t="s">
        <v>10</v>
      </c>
      <c r="D300" s="12" t="s">
        <v>58</v>
      </c>
      <c r="E300" s="12" t="s">
        <v>12</v>
      </c>
      <c r="F300" s="12" t="s">
        <v>13</v>
      </c>
      <c r="G300" s="12" t="s">
        <v>14</v>
      </c>
      <c r="H300" s="13" t="s">
        <v>628</v>
      </c>
      <c r="I300" s="8">
        <f t="shared" si="1"/>
        <v>-30.93</v>
      </c>
    </row>
    <row r="301" ht="15.75" customHeight="1">
      <c r="A301" s="15">
        <v>46052.52972222222</v>
      </c>
      <c r="B301" s="11">
        <v>104.25</v>
      </c>
      <c r="C301" s="12" t="s">
        <v>346</v>
      </c>
      <c r="D301" s="14" t="s">
        <v>347</v>
      </c>
      <c r="E301" s="12" t="s">
        <v>20</v>
      </c>
      <c r="F301" s="12" t="s">
        <v>13</v>
      </c>
      <c r="G301" s="12" t="s">
        <v>14</v>
      </c>
      <c r="H301" s="13" t="s">
        <v>629</v>
      </c>
    </row>
    <row r="302" ht="15.75" customHeight="1">
      <c r="A302" s="15">
        <v>46052.56563657407</v>
      </c>
      <c r="B302" s="11">
        <v>113.5</v>
      </c>
      <c r="C302" s="12" t="s">
        <v>10</v>
      </c>
      <c r="D302" s="12" t="s">
        <v>61</v>
      </c>
      <c r="E302" s="12" t="s">
        <v>12</v>
      </c>
      <c r="F302" s="12" t="s">
        <v>13</v>
      </c>
      <c r="G302" s="12" t="s">
        <v>14</v>
      </c>
      <c r="H302" s="13" t="s">
        <v>630</v>
      </c>
    </row>
    <row r="303" ht="15.75" customHeight="1">
      <c r="A303" s="15">
        <v>46052.71224537037</v>
      </c>
      <c r="B303" s="11">
        <v>1791.0</v>
      </c>
      <c r="C303" s="12" t="s">
        <v>10</v>
      </c>
      <c r="D303" s="12" t="s">
        <v>631</v>
      </c>
      <c r="E303" s="12" t="s">
        <v>12</v>
      </c>
      <c r="F303" s="12" t="s">
        <v>13</v>
      </c>
      <c r="G303" s="12" t="s">
        <v>14</v>
      </c>
      <c r="H303" s="13" t="s">
        <v>632</v>
      </c>
    </row>
    <row r="304" ht="15.75" customHeight="1">
      <c r="H304" s="16"/>
    </row>
    <row r="305" ht="15.75" customHeight="1">
      <c r="H305" s="16"/>
    </row>
    <row r="306" ht="15.75" customHeight="1">
      <c r="H306" s="16"/>
    </row>
    <row r="307" ht="15.75" customHeight="1">
      <c r="H307" s="16"/>
    </row>
    <row r="308" ht="15.75" customHeight="1">
      <c r="H308" s="16"/>
    </row>
    <row r="309" ht="15.75" customHeight="1">
      <c r="H309" s="16"/>
    </row>
    <row r="310" ht="15.75" customHeight="1">
      <c r="H310" s="16"/>
    </row>
    <row r="311" ht="15.75" customHeight="1">
      <c r="H311" s="16"/>
    </row>
    <row r="312" ht="15.75" customHeight="1">
      <c r="H312" s="16"/>
    </row>
    <row r="313" ht="15.75" customHeight="1">
      <c r="H313" s="16"/>
    </row>
    <row r="314" ht="15.75" customHeight="1">
      <c r="H314" s="16"/>
    </row>
    <row r="315" ht="15.75" customHeight="1">
      <c r="H315" s="16"/>
    </row>
    <row r="316" ht="15.75" customHeight="1">
      <c r="H316" s="16"/>
    </row>
    <row r="317" ht="15.75" customHeight="1">
      <c r="H317" s="16"/>
    </row>
    <row r="318" ht="15.75" customHeight="1">
      <c r="H318" s="16"/>
    </row>
    <row r="319" ht="15.75" customHeight="1">
      <c r="H319" s="16"/>
    </row>
    <row r="320" ht="15.75" customHeight="1">
      <c r="H320" s="16"/>
    </row>
    <row r="321" ht="15.75" customHeight="1">
      <c r="H321" s="16"/>
    </row>
    <row r="322" ht="15.75" customHeight="1">
      <c r="H322" s="16"/>
    </row>
    <row r="323" ht="15.75" customHeight="1">
      <c r="H323" s="16"/>
    </row>
    <row r="324" ht="15.75" customHeight="1">
      <c r="H324" s="16"/>
    </row>
    <row r="325" ht="15.75" customHeight="1">
      <c r="H325" s="16"/>
    </row>
    <row r="326" ht="15.75" customHeight="1">
      <c r="H326" s="16"/>
    </row>
    <row r="327" ht="15.75" customHeight="1">
      <c r="H327" s="16"/>
    </row>
    <row r="328" ht="15.75" customHeight="1">
      <c r="H328" s="16"/>
    </row>
    <row r="329" ht="15.75" customHeight="1">
      <c r="H329" s="16"/>
    </row>
    <row r="330" ht="15.75" customHeight="1">
      <c r="H330" s="16"/>
    </row>
    <row r="331" ht="15.75" customHeight="1">
      <c r="H331" s="16"/>
    </row>
    <row r="332" ht="15.75" customHeight="1">
      <c r="H332" s="16"/>
    </row>
    <row r="333" ht="15.75" customHeight="1">
      <c r="H333" s="16"/>
    </row>
    <row r="334" ht="15.75" customHeight="1">
      <c r="H334" s="16"/>
    </row>
    <row r="335" ht="15.75" customHeight="1">
      <c r="H335" s="16"/>
    </row>
    <row r="336" ht="15.75" customHeight="1">
      <c r="H336" s="16"/>
    </row>
    <row r="337" ht="15.75" customHeight="1">
      <c r="H337" s="16"/>
    </row>
    <row r="338" ht="15.75" customHeight="1">
      <c r="H338" s="16"/>
    </row>
    <row r="339" ht="15.75" customHeight="1">
      <c r="H339" s="16"/>
    </row>
    <row r="340" ht="15.75" customHeight="1">
      <c r="H340" s="16"/>
    </row>
    <row r="341" ht="15.75" customHeight="1">
      <c r="H341" s="16"/>
    </row>
    <row r="342" ht="15.75" customHeight="1">
      <c r="H342" s="16"/>
    </row>
    <row r="343" ht="15.75" customHeight="1">
      <c r="H343" s="16"/>
    </row>
    <row r="344" ht="15.75" customHeight="1">
      <c r="H344" s="16"/>
    </row>
    <row r="345" ht="15.75" customHeight="1">
      <c r="H345" s="16"/>
    </row>
    <row r="346" ht="15.75" customHeight="1">
      <c r="H346" s="16"/>
    </row>
    <row r="347" ht="15.75" customHeight="1">
      <c r="H347" s="16"/>
    </row>
    <row r="348" ht="15.75" customHeight="1">
      <c r="H348" s="16"/>
    </row>
    <row r="349" ht="15.75" customHeight="1">
      <c r="H349" s="16"/>
    </row>
    <row r="350" ht="15.75" customHeight="1">
      <c r="H350" s="16"/>
    </row>
    <row r="351" ht="15.75" customHeight="1">
      <c r="H351" s="16"/>
    </row>
    <row r="352" ht="15.75" customHeight="1">
      <c r="H352" s="16"/>
    </row>
    <row r="353" ht="15.75" customHeight="1">
      <c r="H353" s="16"/>
    </row>
    <row r="354" ht="15.75" customHeight="1">
      <c r="H354" s="16"/>
    </row>
    <row r="355" ht="15.75" customHeight="1">
      <c r="H355" s="16"/>
    </row>
    <row r="356" ht="15.75" customHeight="1">
      <c r="H356" s="16"/>
    </row>
    <row r="357" ht="15.75" customHeight="1">
      <c r="H357" s="16"/>
    </row>
    <row r="358" ht="15.75" customHeight="1">
      <c r="H358" s="16"/>
    </row>
    <row r="359" ht="15.75" customHeight="1">
      <c r="H359" s="16"/>
    </row>
    <row r="360" ht="15.75" customHeight="1">
      <c r="H360" s="16"/>
    </row>
    <row r="361" ht="15.75" customHeight="1">
      <c r="H361" s="16"/>
    </row>
    <row r="362" ht="15.75" customHeight="1">
      <c r="H362" s="16"/>
    </row>
    <row r="363" ht="15.75" customHeight="1">
      <c r="H363" s="16"/>
    </row>
    <row r="364" ht="15.75" customHeight="1">
      <c r="H364" s="16"/>
    </row>
    <row r="365" ht="15.75" customHeight="1">
      <c r="H365" s="16"/>
    </row>
    <row r="366" ht="15.75" customHeight="1">
      <c r="H366" s="16"/>
    </row>
    <row r="367" ht="15.75" customHeight="1">
      <c r="H367" s="16"/>
    </row>
    <row r="368" ht="15.75" customHeight="1">
      <c r="H368" s="16"/>
    </row>
    <row r="369" ht="15.75" customHeight="1">
      <c r="H369" s="16"/>
    </row>
    <row r="370" ht="15.75" customHeight="1">
      <c r="H370" s="16"/>
    </row>
    <row r="371" ht="15.75" customHeight="1">
      <c r="H371" s="16"/>
    </row>
    <row r="372" ht="15.75" customHeight="1">
      <c r="H372" s="16"/>
    </row>
    <row r="373" ht="15.75" customHeight="1">
      <c r="H373" s="16"/>
    </row>
    <row r="374" ht="15.75" customHeight="1">
      <c r="H374" s="16"/>
    </row>
    <row r="375" ht="15.75" customHeight="1">
      <c r="H375" s="16"/>
    </row>
    <row r="376" ht="15.75" customHeight="1">
      <c r="H376" s="16"/>
    </row>
    <row r="377" ht="15.75" customHeight="1">
      <c r="H377" s="16"/>
    </row>
    <row r="378" ht="15.75" customHeight="1">
      <c r="H378" s="16"/>
    </row>
    <row r="379" ht="15.75" customHeight="1">
      <c r="H379" s="16"/>
    </row>
    <row r="380" ht="15.75" customHeight="1">
      <c r="H380" s="16"/>
    </row>
    <row r="381" ht="15.75" customHeight="1">
      <c r="H381" s="16"/>
    </row>
    <row r="382" ht="15.75" customHeight="1">
      <c r="H382" s="16"/>
    </row>
    <row r="383" ht="15.75" customHeight="1">
      <c r="H383" s="16"/>
    </row>
    <row r="384" ht="15.75" customHeight="1">
      <c r="H384" s="16"/>
    </row>
    <row r="385" ht="15.75" customHeight="1">
      <c r="H385" s="16"/>
    </row>
    <row r="386" ht="15.75" customHeight="1">
      <c r="H386" s="16"/>
    </row>
    <row r="387" ht="15.75" customHeight="1">
      <c r="H387" s="16"/>
    </row>
    <row r="388" ht="15.75" customHeight="1">
      <c r="H388" s="16"/>
    </row>
    <row r="389" ht="15.75" customHeight="1">
      <c r="H389" s="16"/>
    </row>
    <row r="390" ht="15.75" customHeight="1">
      <c r="H390" s="16"/>
    </row>
    <row r="391" ht="15.75" customHeight="1">
      <c r="H391" s="16"/>
    </row>
    <row r="392" ht="15.75" customHeight="1">
      <c r="H392" s="16"/>
    </row>
    <row r="393" ht="15.75" customHeight="1">
      <c r="H393" s="16"/>
    </row>
    <row r="394" ht="15.75" customHeight="1">
      <c r="H394" s="16"/>
    </row>
    <row r="395" ht="15.75" customHeight="1">
      <c r="H395" s="16"/>
    </row>
    <row r="396" ht="15.75" customHeight="1">
      <c r="H396" s="16"/>
    </row>
    <row r="397" ht="15.75" customHeight="1">
      <c r="H397" s="16"/>
    </row>
    <row r="398" ht="15.75" customHeight="1">
      <c r="H398" s="16"/>
    </row>
    <row r="399" ht="15.75" customHeight="1">
      <c r="H399" s="16"/>
    </row>
    <row r="400" ht="15.75" customHeight="1">
      <c r="H400" s="16"/>
    </row>
    <row r="401" ht="15.75" customHeight="1">
      <c r="H401" s="16"/>
    </row>
    <row r="402" ht="15.75" customHeight="1">
      <c r="H402" s="16"/>
    </row>
    <row r="403" ht="15.75" customHeight="1">
      <c r="H403" s="16"/>
    </row>
    <row r="404" ht="15.75" customHeight="1">
      <c r="H404" s="16"/>
    </row>
    <row r="405" ht="15.75" customHeight="1">
      <c r="H405" s="16"/>
    </row>
    <row r="406" ht="15.75" customHeight="1">
      <c r="H406" s="16"/>
    </row>
    <row r="407" ht="15.75" customHeight="1">
      <c r="H407" s="16"/>
    </row>
    <row r="408" ht="15.75" customHeight="1">
      <c r="H408" s="16"/>
    </row>
    <row r="409" ht="15.75" customHeight="1">
      <c r="H409" s="16"/>
    </row>
    <row r="410" ht="15.75" customHeight="1">
      <c r="H410" s="16"/>
    </row>
    <row r="411" ht="15.75" customHeight="1">
      <c r="H411" s="16"/>
    </row>
    <row r="412" ht="15.75" customHeight="1">
      <c r="H412" s="16"/>
    </row>
    <row r="413" ht="15.75" customHeight="1">
      <c r="H413" s="16"/>
    </row>
    <row r="414" ht="15.75" customHeight="1">
      <c r="H414" s="16"/>
    </row>
    <row r="415" ht="15.75" customHeight="1">
      <c r="H415" s="16"/>
    </row>
    <row r="416" ht="15.75" customHeight="1">
      <c r="H416" s="16"/>
    </row>
    <row r="417" ht="15.75" customHeight="1">
      <c r="H417" s="16"/>
    </row>
    <row r="418" ht="15.75" customHeight="1">
      <c r="H418" s="16"/>
    </row>
    <row r="419" ht="15.75" customHeight="1">
      <c r="H419" s="16"/>
    </row>
    <row r="420" ht="15.75" customHeight="1">
      <c r="H420" s="16"/>
    </row>
    <row r="421" ht="15.75" customHeight="1">
      <c r="H421" s="16"/>
    </row>
    <row r="422" ht="15.75" customHeight="1">
      <c r="H422" s="16"/>
    </row>
    <row r="423" ht="15.75" customHeight="1">
      <c r="H423" s="16"/>
    </row>
    <row r="424" ht="15.75" customHeight="1">
      <c r="H424" s="16"/>
    </row>
    <row r="425" ht="15.75" customHeight="1">
      <c r="H425" s="16"/>
    </row>
    <row r="426" ht="15.75" customHeight="1">
      <c r="H426" s="16"/>
    </row>
    <row r="427" ht="15.75" customHeight="1">
      <c r="H427" s="16"/>
    </row>
    <row r="428" ht="15.75" customHeight="1">
      <c r="H428" s="16"/>
    </row>
    <row r="429" ht="15.75" customHeight="1">
      <c r="H429" s="16"/>
    </row>
    <row r="430" ht="15.75" customHeight="1">
      <c r="H430" s="16"/>
    </row>
    <row r="431" ht="15.75" customHeight="1">
      <c r="H431" s="16"/>
    </row>
    <row r="432" ht="15.75" customHeight="1">
      <c r="H432" s="16"/>
    </row>
    <row r="433" ht="15.75" customHeight="1">
      <c r="H433" s="16"/>
    </row>
    <row r="434" ht="15.75" customHeight="1">
      <c r="H434" s="16"/>
    </row>
    <row r="435" ht="15.75" customHeight="1">
      <c r="H435" s="16"/>
    </row>
    <row r="436" ht="15.75" customHeight="1">
      <c r="H436" s="16"/>
    </row>
    <row r="437" ht="15.75" customHeight="1">
      <c r="H437" s="16"/>
    </row>
    <row r="438" ht="15.75" customHeight="1">
      <c r="H438" s="16"/>
    </row>
    <row r="439" ht="15.75" customHeight="1">
      <c r="H439" s="16"/>
    </row>
    <row r="440" ht="15.75" customHeight="1">
      <c r="H440" s="16"/>
    </row>
    <row r="441" ht="15.75" customHeight="1">
      <c r="H441" s="16"/>
    </row>
    <row r="442" ht="15.75" customHeight="1">
      <c r="H442" s="16"/>
    </row>
    <row r="443" ht="15.75" customHeight="1">
      <c r="H443" s="16"/>
    </row>
    <row r="444" ht="15.75" customHeight="1">
      <c r="H444" s="16"/>
    </row>
    <row r="445" ht="15.75" customHeight="1">
      <c r="H445" s="16"/>
    </row>
    <row r="446" ht="15.75" customHeight="1">
      <c r="H446" s="16"/>
    </row>
    <row r="447" ht="15.75" customHeight="1">
      <c r="H447" s="16"/>
    </row>
    <row r="448" ht="15.75" customHeight="1">
      <c r="H448" s="16"/>
    </row>
    <row r="449" ht="15.75" customHeight="1">
      <c r="H449" s="16"/>
    </row>
    <row r="450" ht="15.75" customHeight="1">
      <c r="H450" s="16"/>
    </row>
    <row r="451" ht="15.75" customHeight="1">
      <c r="H451" s="16"/>
    </row>
    <row r="452" ht="15.75" customHeight="1">
      <c r="H452" s="16"/>
    </row>
    <row r="453" ht="15.75" customHeight="1">
      <c r="H453" s="16"/>
    </row>
    <row r="454" ht="15.75" customHeight="1">
      <c r="H454" s="16"/>
    </row>
    <row r="455" ht="15.75" customHeight="1">
      <c r="H455" s="16"/>
    </row>
    <row r="456" ht="15.75" customHeight="1">
      <c r="H456" s="16"/>
    </row>
    <row r="457" ht="15.75" customHeight="1">
      <c r="H457" s="16"/>
    </row>
    <row r="458" ht="15.75" customHeight="1">
      <c r="H458" s="16"/>
    </row>
    <row r="459" ht="15.75" customHeight="1">
      <c r="H459" s="16"/>
    </row>
    <row r="460" ht="15.75" customHeight="1">
      <c r="H460" s="16"/>
    </row>
    <row r="461" ht="15.75" customHeight="1">
      <c r="H461" s="16"/>
    </row>
    <row r="462" ht="15.75" customHeight="1">
      <c r="H462" s="16"/>
    </row>
    <row r="463" ht="15.75" customHeight="1">
      <c r="H463" s="16"/>
    </row>
    <row r="464" ht="15.75" customHeight="1">
      <c r="H464" s="16"/>
    </row>
    <row r="465" ht="15.75" customHeight="1">
      <c r="H465" s="16"/>
    </row>
    <row r="466" ht="15.75" customHeight="1">
      <c r="H466" s="16"/>
    </row>
    <row r="467" ht="15.75" customHeight="1">
      <c r="H467" s="16"/>
    </row>
    <row r="468" ht="15.75" customHeight="1">
      <c r="H468" s="16"/>
    </row>
    <row r="469" ht="15.75" customHeight="1">
      <c r="H469" s="16"/>
    </row>
    <row r="470" ht="15.75" customHeight="1">
      <c r="H470" s="16"/>
    </row>
    <row r="471" ht="15.75" customHeight="1">
      <c r="H471" s="16"/>
    </row>
    <row r="472" ht="15.75" customHeight="1">
      <c r="H472" s="16"/>
    </row>
    <row r="473" ht="15.75" customHeight="1">
      <c r="H473" s="16"/>
    </row>
    <row r="474" ht="15.75" customHeight="1">
      <c r="H474" s="16"/>
    </row>
    <row r="475" ht="15.75" customHeight="1">
      <c r="H475" s="16"/>
    </row>
    <row r="476" ht="15.75" customHeight="1">
      <c r="H476" s="16"/>
    </row>
    <row r="477" ht="15.75" customHeight="1">
      <c r="H477" s="16"/>
    </row>
    <row r="478" ht="15.75" customHeight="1">
      <c r="H478" s="16"/>
    </row>
    <row r="479" ht="15.75" customHeight="1">
      <c r="H479" s="16"/>
    </row>
    <row r="480" ht="15.75" customHeight="1">
      <c r="H480" s="16"/>
    </row>
    <row r="481" ht="15.75" customHeight="1">
      <c r="H481" s="16"/>
    </row>
    <row r="482" ht="15.75" customHeight="1">
      <c r="H482" s="16"/>
    </row>
    <row r="483" ht="15.75" customHeight="1">
      <c r="H483" s="16"/>
    </row>
    <row r="484" ht="15.75" customHeight="1">
      <c r="H484" s="16"/>
    </row>
    <row r="485" ht="15.75" customHeight="1">
      <c r="H485" s="16"/>
    </row>
    <row r="486" ht="15.75" customHeight="1">
      <c r="H486" s="16"/>
    </row>
    <row r="487" ht="15.75" customHeight="1">
      <c r="H487" s="16"/>
    </row>
    <row r="488" ht="15.75" customHeight="1">
      <c r="H488" s="16"/>
    </row>
    <row r="489" ht="15.75" customHeight="1">
      <c r="H489" s="16"/>
    </row>
    <row r="490" ht="15.75" customHeight="1">
      <c r="H490" s="16"/>
    </row>
    <row r="491" ht="15.75" customHeight="1">
      <c r="H491" s="16"/>
    </row>
    <row r="492" ht="15.75" customHeight="1">
      <c r="H492" s="16"/>
    </row>
    <row r="493" ht="15.75" customHeight="1">
      <c r="H493" s="16"/>
    </row>
    <row r="494" ht="15.75" customHeight="1">
      <c r="H494" s="16"/>
    </row>
    <row r="495" ht="15.75" customHeight="1">
      <c r="H495" s="16"/>
    </row>
    <row r="496" ht="15.75" customHeight="1">
      <c r="H496" s="16"/>
    </row>
    <row r="497" ht="15.75" customHeight="1">
      <c r="H497" s="16"/>
    </row>
    <row r="498" ht="15.75" customHeight="1">
      <c r="H498" s="16"/>
    </row>
    <row r="499" ht="15.75" customHeight="1">
      <c r="H499" s="16"/>
    </row>
    <row r="500" ht="15.75" customHeight="1">
      <c r="H500" s="16"/>
    </row>
    <row r="501" ht="15.75" customHeight="1">
      <c r="H501" s="16"/>
    </row>
    <row r="502" ht="15.75" customHeight="1">
      <c r="H502" s="16"/>
    </row>
    <row r="503" ht="15.75" customHeight="1">
      <c r="H503" s="16"/>
    </row>
    <row r="504" ht="15.75" customHeight="1">
      <c r="H504" s="16"/>
    </row>
    <row r="505" ht="15.75" customHeight="1">
      <c r="H505" s="16"/>
    </row>
    <row r="506" ht="15.75" customHeight="1">
      <c r="H506" s="16"/>
    </row>
    <row r="507" ht="15.75" customHeight="1">
      <c r="H507" s="16"/>
    </row>
    <row r="508" ht="15.75" customHeight="1">
      <c r="H508" s="16"/>
    </row>
    <row r="509" ht="15.75" customHeight="1">
      <c r="H509" s="16"/>
    </row>
    <row r="510" ht="15.75" customHeight="1">
      <c r="H510" s="16"/>
    </row>
    <row r="511" ht="15.75" customHeight="1">
      <c r="H511" s="16"/>
    </row>
    <row r="512" ht="15.75" customHeight="1">
      <c r="H512" s="16"/>
    </row>
    <row r="513" ht="15.75" customHeight="1">
      <c r="H513" s="16"/>
    </row>
    <row r="514" ht="15.75" customHeight="1">
      <c r="H514" s="16"/>
    </row>
    <row r="515" ht="15.75" customHeight="1">
      <c r="H515" s="16"/>
    </row>
    <row r="516" ht="15.75" customHeight="1">
      <c r="H516" s="16"/>
    </row>
    <row r="517" ht="15.75" customHeight="1">
      <c r="H517" s="16"/>
    </row>
    <row r="518" ht="15.75" customHeight="1">
      <c r="H518" s="16"/>
    </row>
    <row r="519" ht="15.75" customHeight="1">
      <c r="H519" s="16"/>
    </row>
    <row r="520" ht="15.75" customHeight="1">
      <c r="H520" s="16"/>
    </row>
    <row r="521" ht="15.75" customHeight="1">
      <c r="H521" s="16"/>
    </row>
    <row r="522" ht="15.75" customHeight="1">
      <c r="H522" s="16"/>
    </row>
    <row r="523" ht="15.75" customHeight="1">
      <c r="H523" s="16"/>
    </row>
    <row r="524" ht="15.75" customHeight="1">
      <c r="H524" s="16"/>
    </row>
    <row r="525" ht="15.75" customHeight="1">
      <c r="H525" s="16"/>
    </row>
    <row r="526" ht="15.75" customHeight="1">
      <c r="H526" s="16"/>
    </row>
    <row r="527" ht="15.75" customHeight="1">
      <c r="H527" s="16"/>
    </row>
    <row r="528" ht="15.75" customHeight="1">
      <c r="H528" s="16"/>
    </row>
    <row r="529" ht="15.75" customHeight="1">
      <c r="H529" s="16"/>
    </row>
    <row r="530" ht="15.75" customHeight="1">
      <c r="H530" s="16"/>
    </row>
    <row r="531" ht="15.75" customHeight="1">
      <c r="H531" s="16"/>
    </row>
    <row r="532" ht="15.75" customHeight="1">
      <c r="H532" s="16"/>
    </row>
    <row r="533" ht="15.75" customHeight="1">
      <c r="H533" s="16"/>
    </row>
    <row r="534" ht="15.75" customHeight="1">
      <c r="H534" s="16"/>
    </row>
    <row r="535" ht="15.75" customHeight="1">
      <c r="H535" s="16"/>
    </row>
    <row r="536" ht="15.75" customHeight="1">
      <c r="H536" s="16"/>
    </row>
    <row r="537" ht="15.75" customHeight="1">
      <c r="H537" s="16"/>
    </row>
    <row r="538" ht="15.75" customHeight="1">
      <c r="H538" s="16"/>
    </row>
    <row r="539" ht="15.75" customHeight="1">
      <c r="H539" s="16"/>
    </row>
    <row r="540" ht="15.75" customHeight="1">
      <c r="H540" s="16"/>
    </row>
    <row r="541" ht="15.75" customHeight="1">
      <c r="H541" s="16"/>
    </row>
    <row r="542" ht="15.75" customHeight="1">
      <c r="H542" s="16"/>
    </row>
    <row r="543" ht="15.75" customHeight="1">
      <c r="H543" s="16"/>
    </row>
    <row r="544" ht="15.75" customHeight="1">
      <c r="H544" s="16"/>
    </row>
    <row r="545" ht="15.75" customHeight="1">
      <c r="H545" s="16"/>
    </row>
    <row r="546" ht="15.75" customHeight="1">
      <c r="H546" s="16"/>
    </row>
    <row r="547" ht="15.75" customHeight="1">
      <c r="H547" s="16"/>
    </row>
    <row r="548" ht="15.75" customHeight="1">
      <c r="H548" s="16"/>
    </row>
    <row r="549" ht="15.75" customHeight="1">
      <c r="H549" s="16"/>
    </row>
    <row r="550" ht="15.75" customHeight="1">
      <c r="H550" s="16"/>
    </row>
    <row r="551" ht="15.75" customHeight="1">
      <c r="H551" s="16"/>
    </row>
    <row r="552" ht="15.75" customHeight="1">
      <c r="H552" s="16"/>
    </row>
    <row r="553" ht="15.75" customHeight="1">
      <c r="H553" s="16"/>
    </row>
    <row r="554" ht="15.75" customHeight="1">
      <c r="H554" s="16"/>
    </row>
    <row r="555" ht="15.75" customHeight="1">
      <c r="H555" s="16"/>
    </row>
    <row r="556" ht="15.75" customHeight="1">
      <c r="H556" s="16"/>
    </row>
    <row r="557" ht="15.75" customHeight="1">
      <c r="H557" s="16"/>
    </row>
    <row r="558" ht="15.75" customHeight="1">
      <c r="H558" s="16"/>
    </row>
    <row r="559" ht="15.75" customHeight="1">
      <c r="H559" s="16"/>
    </row>
    <row r="560" ht="15.75" customHeight="1">
      <c r="H560" s="16"/>
    </row>
    <row r="561" ht="15.75" customHeight="1">
      <c r="H561" s="16"/>
    </row>
    <row r="562" ht="15.75" customHeight="1">
      <c r="H562" s="16"/>
    </row>
    <row r="563" ht="15.75" customHeight="1">
      <c r="H563" s="16"/>
    </row>
    <row r="564" ht="15.75" customHeight="1">
      <c r="H564" s="16"/>
    </row>
    <row r="565" ht="15.75" customHeight="1">
      <c r="H565" s="16"/>
    </row>
    <row r="566" ht="15.75" customHeight="1">
      <c r="H566" s="16"/>
    </row>
    <row r="567" ht="15.75" customHeight="1">
      <c r="H567" s="16"/>
    </row>
    <row r="568" ht="15.75" customHeight="1">
      <c r="H568" s="16"/>
    </row>
    <row r="569" ht="15.75" customHeight="1">
      <c r="H569" s="16"/>
    </row>
    <row r="570" ht="15.75" customHeight="1">
      <c r="H570" s="16"/>
    </row>
    <row r="571" ht="15.75" customHeight="1">
      <c r="H571" s="16"/>
    </row>
    <row r="572" ht="15.75" customHeight="1">
      <c r="H572" s="16"/>
    </row>
    <row r="573" ht="15.75" customHeight="1">
      <c r="H573" s="16"/>
    </row>
    <row r="574" ht="15.75" customHeight="1">
      <c r="H574" s="16"/>
    </row>
    <row r="575" ht="15.75" customHeight="1">
      <c r="H575" s="16"/>
    </row>
    <row r="576" ht="15.75" customHeight="1">
      <c r="H576" s="16"/>
    </row>
    <row r="577" ht="15.75" customHeight="1">
      <c r="H577" s="16"/>
    </row>
    <row r="578" ht="15.75" customHeight="1">
      <c r="H578" s="16"/>
    </row>
    <row r="579" ht="15.75" customHeight="1">
      <c r="H579" s="16"/>
    </row>
    <row r="580" ht="15.75" customHeight="1">
      <c r="H580" s="16"/>
    </row>
    <row r="581" ht="15.75" customHeight="1">
      <c r="H581" s="16"/>
    </row>
    <row r="582" ht="15.75" customHeight="1">
      <c r="H582" s="16"/>
    </row>
    <row r="583" ht="15.75" customHeight="1">
      <c r="H583" s="16"/>
    </row>
    <row r="584" ht="15.75" customHeight="1">
      <c r="H584" s="16"/>
    </row>
    <row r="585" ht="15.75" customHeight="1">
      <c r="H585" s="16"/>
    </row>
    <row r="586" ht="15.75" customHeight="1">
      <c r="H586" s="16"/>
    </row>
    <row r="587" ht="15.75" customHeight="1">
      <c r="H587" s="16"/>
    </row>
    <row r="588" ht="15.75" customHeight="1">
      <c r="H588" s="16"/>
    </row>
    <row r="589" ht="15.75" customHeight="1">
      <c r="H589" s="16"/>
    </row>
    <row r="590" ht="15.75" customHeight="1">
      <c r="H590" s="16"/>
    </row>
    <row r="591" ht="15.75" customHeight="1">
      <c r="H591" s="16"/>
    </row>
    <row r="592" ht="15.75" customHeight="1">
      <c r="H592" s="16"/>
    </row>
    <row r="593" ht="15.75" customHeight="1">
      <c r="H593" s="16"/>
    </row>
    <row r="594" ht="15.75" customHeight="1">
      <c r="H594" s="16"/>
    </row>
    <row r="595" ht="15.75" customHeight="1">
      <c r="H595" s="16"/>
    </row>
    <row r="596" ht="15.75" customHeight="1">
      <c r="H596" s="16"/>
    </row>
    <row r="597" ht="15.75" customHeight="1">
      <c r="H597" s="16"/>
    </row>
    <row r="598" ht="15.75" customHeight="1">
      <c r="H598" s="16"/>
    </row>
    <row r="599" ht="15.75" customHeight="1">
      <c r="H599" s="16"/>
    </row>
    <row r="600" ht="15.75" customHeight="1">
      <c r="H600" s="16"/>
    </row>
    <row r="601" ht="15.75" customHeight="1">
      <c r="H601" s="16"/>
    </row>
    <row r="602" ht="15.75" customHeight="1">
      <c r="H602" s="16"/>
    </row>
    <row r="603" ht="15.75" customHeight="1">
      <c r="H603" s="16"/>
    </row>
    <row r="604" ht="15.75" customHeight="1">
      <c r="H604" s="16"/>
    </row>
    <row r="605" ht="15.75" customHeight="1">
      <c r="H605" s="16"/>
    </row>
    <row r="606" ht="15.75" customHeight="1">
      <c r="H606" s="16"/>
    </row>
    <row r="607" ht="15.75" customHeight="1">
      <c r="H607" s="16"/>
    </row>
    <row r="608" ht="15.75" customHeight="1">
      <c r="H608" s="16"/>
    </row>
    <row r="609" ht="15.75" customHeight="1">
      <c r="H609" s="16"/>
    </row>
    <row r="610" ht="15.75" customHeight="1">
      <c r="H610" s="16"/>
    </row>
    <row r="611" ht="15.75" customHeight="1">
      <c r="H611" s="16"/>
    </row>
    <row r="612" ht="15.75" customHeight="1">
      <c r="H612" s="16"/>
    </row>
    <row r="613" ht="15.75" customHeight="1">
      <c r="H613" s="16"/>
    </row>
    <row r="614" ht="15.75" customHeight="1">
      <c r="H614" s="16"/>
    </row>
    <row r="615" ht="15.75" customHeight="1">
      <c r="H615" s="16"/>
    </row>
    <row r="616" ht="15.75" customHeight="1">
      <c r="H616" s="16"/>
    </row>
    <row r="617" ht="15.75" customHeight="1">
      <c r="H617" s="16"/>
    </row>
    <row r="618" ht="15.75" customHeight="1">
      <c r="H618" s="16"/>
    </row>
    <row r="619" ht="15.75" customHeight="1">
      <c r="H619" s="16"/>
    </row>
    <row r="620" ht="15.75" customHeight="1">
      <c r="H620" s="16"/>
    </row>
    <row r="621" ht="15.75" customHeight="1">
      <c r="H621" s="16"/>
    </row>
    <row r="622" ht="15.75" customHeight="1">
      <c r="H622" s="16"/>
    </row>
    <row r="623" ht="15.75" customHeight="1">
      <c r="H623" s="16"/>
    </row>
    <row r="624" ht="15.75" customHeight="1">
      <c r="H624" s="16"/>
    </row>
    <row r="625" ht="15.75" customHeight="1">
      <c r="H625" s="16"/>
    </row>
    <row r="626" ht="15.75" customHeight="1">
      <c r="H626" s="16"/>
    </row>
    <row r="627" ht="15.75" customHeight="1">
      <c r="H627" s="16"/>
    </row>
    <row r="628" ht="15.75" customHeight="1">
      <c r="H628" s="16"/>
    </row>
    <row r="629" ht="15.75" customHeight="1">
      <c r="H629" s="16"/>
    </row>
    <row r="630" ht="15.75" customHeight="1">
      <c r="H630" s="16"/>
    </row>
    <row r="631" ht="15.75" customHeight="1">
      <c r="H631" s="16"/>
    </row>
    <row r="632" ht="15.75" customHeight="1">
      <c r="H632" s="16"/>
    </row>
    <row r="633" ht="15.75" customHeight="1">
      <c r="H633" s="16"/>
    </row>
    <row r="634" ht="15.75" customHeight="1">
      <c r="H634" s="16"/>
    </row>
    <row r="635" ht="15.75" customHeight="1">
      <c r="H635" s="16"/>
    </row>
    <row r="636" ht="15.75" customHeight="1">
      <c r="H636" s="16"/>
    </row>
    <row r="637" ht="15.75" customHeight="1">
      <c r="H637" s="16"/>
    </row>
    <row r="638" ht="15.75" customHeight="1">
      <c r="H638" s="16"/>
    </row>
    <row r="639" ht="15.75" customHeight="1">
      <c r="H639" s="16"/>
    </row>
    <row r="640" ht="15.75" customHeight="1">
      <c r="H640" s="16"/>
    </row>
    <row r="641" ht="15.75" customHeight="1">
      <c r="H641" s="16"/>
    </row>
    <row r="642" ht="15.75" customHeight="1">
      <c r="H642" s="16"/>
    </row>
    <row r="643" ht="15.75" customHeight="1">
      <c r="H643" s="16"/>
    </row>
    <row r="644" ht="15.75" customHeight="1">
      <c r="H644" s="16"/>
    </row>
    <row r="645" ht="15.75" customHeight="1">
      <c r="H645" s="16"/>
    </row>
    <row r="646" ht="15.75" customHeight="1">
      <c r="H646" s="16"/>
    </row>
    <row r="647" ht="15.75" customHeight="1">
      <c r="H647" s="16"/>
    </row>
    <row r="648" ht="15.75" customHeight="1">
      <c r="H648" s="16"/>
    </row>
    <row r="649" ht="15.75" customHeight="1">
      <c r="H649" s="16"/>
    </row>
    <row r="650" ht="15.75" customHeight="1">
      <c r="H650" s="16"/>
    </row>
    <row r="651" ht="15.75" customHeight="1">
      <c r="H651" s="16"/>
    </row>
    <row r="652" ht="15.75" customHeight="1">
      <c r="H652" s="16"/>
    </row>
    <row r="653" ht="15.75" customHeight="1">
      <c r="H653" s="16"/>
    </row>
    <row r="654" ht="15.75" customHeight="1">
      <c r="H654" s="16"/>
    </row>
    <row r="655" ht="15.75" customHeight="1">
      <c r="H655" s="16"/>
    </row>
    <row r="656" ht="15.75" customHeight="1">
      <c r="H656" s="16"/>
    </row>
    <row r="657" ht="15.75" customHeight="1">
      <c r="H657" s="16"/>
    </row>
    <row r="658" ht="15.75" customHeight="1">
      <c r="H658" s="16"/>
    </row>
    <row r="659" ht="15.75" customHeight="1">
      <c r="H659" s="16"/>
    </row>
    <row r="660" ht="15.75" customHeight="1">
      <c r="H660" s="16"/>
    </row>
    <row r="661" ht="15.75" customHeight="1">
      <c r="H661" s="16"/>
    </row>
    <row r="662" ht="15.75" customHeight="1">
      <c r="H662" s="16"/>
    </row>
    <row r="663" ht="15.75" customHeight="1">
      <c r="H663" s="16"/>
    </row>
    <row r="664" ht="15.75" customHeight="1">
      <c r="H664" s="16"/>
    </row>
    <row r="665" ht="15.75" customHeight="1">
      <c r="H665" s="16"/>
    </row>
    <row r="666" ht="15.75" customHeight="1">
      <c r="H666" s="16"/>
    </row>
    <row r="667" ht="15.75" customHeight="1">
      <c r="H667" s="16"/>
    </row>
    <row r="668" ht="15.75" customHeight="1">
      <c r="H668" s="16"/>
    </row>
    <row r="669" ht="15.75" customHeight="1">
      <c r="H669" s="16"/>
    </row>
    <row r="670" ht="15.75" customHeight="1">
      <c r="H670" s="16"/>
    </row>
    <row r="671" ht="15.75" customHeight="1">
      <c r="H671" s="16"/>
    </row>
    <row r="672" ht="15.75" customHeight="1">
      <c r="H672" s="16"/>
    </row>
    <row r="673" ht="15.75" customHeight="1">
      <c r="H673" s="16"/>
    </row>
    <row r="674" ht="15.75" customHeight="1">
      <c r="H674" s="16"/>
    </row>
    <row r="675" ht="15.75" customHeight="1">
      <c r="H675" s="16"/>
    </row>
    <row r="676" ht="15.75" customHeight="1">
      <c r="H676" s="16"/>
    </row>
    <row r="677" ht="15.75" customHeight="1">
      <c r="H677" s="16"/>
    </row>
    <row r="678" ht="15.75" customHeight="1">
      <c r="H678" s="16"/>
    </row>
    <row r="679" ht="15.75" customHeight="1">
      <c r="H679" s="16"/>
    </row>
    <row r="680" ht="15.75" customHeight="1">
      <c r="H680" s="16"/>
    </row>
    <row r="681" ht="15.75" customHeight="1">
      <c r="H681" s="16"/>
    </row>
    <row r="682" ht="15.75" customHeight="1">
      <c r="H682" s="16"/>
    </row>
    <row r="683" ht="15.75" customHeight="1">
      <c r="H683" s="16"/>
    </row>
    <row r="684" ht="15.75" customHeight="1">
      <c r="H684" s="16"/>
    </row>
    <row r="685" ht="15.75" customHeight="1">
      <c r="H685" s="16"/>
    </row>
    <row r="686" ht="15.75" customHeight="1">
      <c r="H686" s="16"/>
    </row>
    <row r="687" ht="15.75" customHeight="1">
      <c r="H687" s="16"/>
    </row>
    <row r="688" ht="15.75" customHeight="1">
      <c r="H688" s="16"/>
    </row>
    <row r="689" ht="15.75" customHeight="1">
      <c r="H689" s="16"/>
    </row>
    <row r="690" ht="15.75" customHeight="1">
      <c r="H690" s="16"/>
    </row>
    <row r="691" ht="15.75" customHeight="1">
      <c r="H691" s="16"/>
    </row>
    <row r="692" ht="15.75" customHeight="1">
      <c r="H692" s="16"/>
    </row>
    <row r="693" ht="15.75" customHeight="1">
      <c r="H693" s="16"/>
    </row>
    <row r="694" ht="15.75" customHeight="1">
      <c r="H694" s="16"/>
    </row>
    <row r="695" ht="15.75" customHeight="1">
      <c r="H695" s="16"/>
    </row>
    <row r="696" ht="15.75" customHeight="1">
      <c r="H696" s="16"/>
    </row>
    <row r="697" ht="15.75" customHeight="1">
      <c r="H697" s="16"/>
    </row>
    <row r="698" ht="15.75" customHeight="1">
      <c r="H698" s="16"/>
    </row>
    <row r="699" ht="15.75" customHeight="1">
      <c r="H699" s="16"/>
    </row>
    <row r="700" ht="15.75" customHeight="1">
      <c r="H700" s="16"/>
    </row>
    <row r="701" ht="15.75" customHeight="1">
      <c r="H701" s="16"/>
    </row>
    <row r="702" ht="15.75" customHeight="1">
      <c r="H702" s="16"/>
    </row>
    <row r="703" ht="15.75" customHeight="1">
      <c r="H703" s="16"/>
    </row>
    <row r="704" ht="15.75" customHeight="1">
      <c r="H704" s="16"/>
    </row>
    <row r="705" ht="15.75" customHeight="1">
      <c r="H705" s="16"/>
    </row>
    <row r="706" ht="15.75" customHeight="1">
      <c r="H706" s="16"/>
    </row>
    <row r="707" ht="15.75" customHeight="1">
      <c r="H707" s="16"/>
    </row>
    <row r="708" ht="15.75" customHeight="1">
      <c r="H708" s="16"/>
    </row>
    <row r="709" ht="15.75" customHeight="1">
      <c r="H709" s="16"/>
    </row>
    <row r="710" ht="15.75" customHeight="1">
      <c r="H710" s="16"/>
    </row>
    <row r="711" ht="15.75" customHeight="1">
      <c r="H711" s="16"/>
    </row>
    <row r="712" ht="15.75" customHeight="1">
      <c r="H712" s="16"/>
    </row>
    <row r="713" ht="15.75" customHeight="1">
      <c r="H713" s="16"/>
    </row>
    <row r="714" ht="15.75" customHeight="1">
      <c r="H714" s="16"/>
    </row>
    <row r="715" ht="15.75" customHeight="1">
      <c r="H715" s="16"/>
    </row>
    <row r="716" ht="15.75" customHeight="1">
      <c r="H716" s="16"/>
    </row>
    <row r="717" ht="15.75" customHeight="1">
      <c r="H717" s="16"/>
    </row>
    <row r="718" ht="15.75" customHeight="1">
      <c r="H718" s="16"/>
    </row>
    <row r="719" ht="15.75" customHeight="1">
      <c r="H719" s="16"/>
    </row>
    <row r="720" ht="15.75" customHeight="1">
      <c r="H720" s="16"/>
    </row>
    <row r="721" ht="15.75" customHeight="1">
      <c r="H721" s="16"/>
    </row>
    <row r="722" ht="15.75" customHeight="1">
      <c r="H722" s="16"/>
    </row>
    <row r="723" ht="15.75" customHeight="1">
      <c r="H723" s="16"/>
    </row>
    <row r="724" ht="15.75" customHeight="1">
      <c r="H724" s="16"/>
    </row>
    <row r="725" ht="15.75" customHeight="1">
      <c r="H725" s="16"/>
    </row>
    <row r="726" ht="15.75" customHeight="1">
      <c r="H726" s="16"/>
    </row>
    <row r="727" ht="15.75" customHeight="1">
      <c r="H727" s="16"/>
    </row>
    <row r="728" ht="15.75" customHeight="1">
      <c r="H728" s="16"/>
    </row>
    <row r="729" ht="15.75" customHeight="1">
      <c r="H729" s="16"/>
    </row>
    <row r="730" ht="15.75" customHeight="1">
      <c r="H730" s="16"/>
    </row>
    <row r="731" ht="15.75" customHeight="1">
      <c r="H731" s="16"/>
    </row>
    <row r="732" ht="15.75" customHeight="1">
      <c r="H732" s="16"/>
    </row>
    <row r="733" ht="15.75" customHeight="1">
      <c r="H733" s="16"/>
    </row>
    <row r="734" ht="15.75" customHeight="1">
      <c r="H734" s="16"/>
    </row>
    <row r="735" ht="15.75" customHeight="1">
      <c r="H735" s="16"/>
    </row>
    <row r="736" ht="15.75" customHeight="1">
      <c r="H736" s="16"/>
    </row>
    <row r="737" ht="15.75" customHeight="1">
      <c r="H737" s="16"/>
    </row>
    <row r="738" ht="15.75" customHeight="1">
      <c r="H738" s="16"/>
    </row>
    <row r="739" ht="15.75" customHeight="1">
      <c r="H739" s="16"/>
    </row>
    <row r="740" ht="15.75" customHeight="1">
      <c r="H740" s="16"/>
    </row>
    <row r="741" ht="15.75" customHeight="1">
      <c r="H741" s="16"/>
    </row>
    <row r="742" ht="15.75" customHeight="1">
      <c r="H742" s="16"/>
    </row>
    <row r="743" ht="15.75" customHeight="1">
      <c r="H743" s="16"/>
    </row>
    <row r="744" ht="15.75" customHeight="1">
      <c r="H744" s="16"/>
    </row>
    <row r="745" ht="15.75" customHeight="1">
      <c r="H745" s="16"/>
    </row>
    <row r="746" ht="15.75" customHeight="1">
      <c r="H746" s="16"/>
    </row>
    <row r="747" ht="15.75" customHeight="1">
      <c r="H747" s="16"/>
    </row>
    <row r="748" ht="15.75" customHeight="1">
      <c r="H748" s="16"/>
    </row>
    <row r="749" ht="15.75" customHeight="1">
      <c r="H749" s="16"/>
    </row>
    <row r="750" ht="15.75" customHeight="1">
      <c r="H750" s="16"/>
    </row>
    <row r="751" ht="15.75" customHeight="1">
      <c r="H751" s="16"/>
    </row>
    <row r="752" ht="15.75" customHeight="1">
      <c r="H752" s="16"/>
    </row>
    <row r="753" ht="15.75" customHeight="1">
      <c r="H753" s="16"/>
    </row>
    <row r="754" ht="15.75" customHeight="1">
      <c r="H754" s="16"/>
    </row>
    <row r="755" ht="15.75" customHeight="1">
      <c r="H755" s="16"/>
    </row>
    <row r="756" ht="15.75" customHeight="1">
      <c r="H756" s="16"/>
    </row>
    <row r="757" ht="15.75" customHeight="1">
      <c r="H757" s="16"/>
    </row>
    <row r="758" ht="15.75" customHeight="1">
      <c r="H758" s="16"/>
    </row>
    <row r="759" ht="15.75" customHeight="1">
      <c r="H759" s="16"/>
    </row>
    <row r="760" ht="15.75" customHeight="1">
      <c r="H760" s="16"/>
    </row>
    <row r="761" ht="15.75" customHeight="1">
      <c r="H761" s="16"/>
    </row>
    <row r="762" ht="15.75" customHeight="1">
      <c r="H762" s="16"/>
    </row>
    <row r="763" ht="15.75" customHeight="1">
      <c r="H763" s="16"/>
    </row>
    <row r="764" ht="15.75" customHeight="1">
      <c r="H764" s="16"/>
    </row>
    <row r="765" ht="15.75" customHeight="1">
      <c r="H765" s="16"/>
    </row>
    <row r="766" ht="15.75" customHeight="1">
      <c r="H766" s="16"/>
    </row>
    <row r="767" ht="15.75" customHeight="1">
      <c r="H767" s="16"/>
    </row>
    <row r="768" ht="15.75" customHeight="1">
      <c r="H768" s="16"/>
    </row>
    <row r="769" ht="15.75" customHeight="1">
      <c r="H769" s="16"/>
    </row>
    <row r="770" ht="15.75" customHeight="1">
      <c r="H770" s="16"/>
    </row>
    <row r="771" ht="15.75" customHeight="1">
      <c r="H771" s="16"/>
    </row>
    <row r="772" ht="15.75" customHeight="1">
      <c r="H772" s="16"/>
    </row>
    <row r="773" ht="15.75" customHeight="1">
      <c r="H773" s="16"/>
    </row>
    <row r="774" ht="15.75" customHeight="1">
      <c r="H774" s="16"/>
    </row>
    <row r="775" ht="15.75" customHeight="1">
      <c r="H775" s="16"/>
    </row>
    <row r="776" ht="15.75" customHeight="1">
      <c r="H776" s="16"/>
    </row>
    <row r="777" ht="15.75" customHeight="1">
      <c r="H777" s="16"/>
    </row>
    <row r="778" ht="15.75" customHeight="1">
      <c r="H778" s="16"/>
    </row>
    <row r="779" ht="15.75" customHeight="1">
      <c r="H779" s="16"/>
    </row>
    <row r="780" ht="15.75" customHeight="1">
      <c r="H780" s="16"/>
    </row>
    <row r="781" ht="15.75" customHeight="1">
      <c r="H781" s="16"/>
    </row>
    <row r="782" ht="15.75" customHeight="1">
      <c r="H782" s="16"/>
    </row>
    <row r="783" ht="15.75" customHeight="1">
      <c r="H783" s="16"/>
    </row>
    <row r="784" ht="15.75" customHeight="1">
      <c r="H784" s="16"/>
    </row>
    <row r="785" ht="15.75" customHeight="1">
      <c r="H785" s="16"/>
    </row>
    <row r="786" ht="15.75" customHeight="1">
      <c r="H786" s="16"/>
    </row>
    <row r="787" ht="15.75" customHeight="1">
      <c r="H787" s="16"/>
    </row>
    <row r="788" ht="15.75" customHeight="1">
      <c r="H788" s="16"/>
    </row>
    <row r="789" ht="15.75" customHeight="1">
      <c r="H789" s="16"/>
    </row>
    <row r="790" ht="15.75" customHeight="1">
      <c r="H790" s="16"/>
    </row>
    <row r="791" ht="15.75" customHeight="1">
      <c r="H791" s="16"/>
    </row>
    <row r="792" ht="15.75" customHeight="1">
      <c r="H792" s="16"/>
    </row>
    <row r="793" ht="15.75" customHeight="1">
      <c r="H793" s="16"/>
    </row>
    <row r="794" ht="15.75" customHeight="1">
      <c r="H794" s="16"/>
    </row>
    <row r="795" ht="15.75" customHeight="1">
      <c r="H795" s="16"/>
    </row>
    <row r="796" ht="15.75" customHeight="1">
      <c r="H796" s="16"/>
    </row>
    <row r="797" ht="15.75" customHeight="1">
      <c r="H797" s="16"/>
    </row>
    <row r="798" ht="15.75" customHeight="1">
      <c r="H798" s="16"/>
    </row>
    <row r="799" ht="15.75" customHeight="1">
      <c r="H799" s="16"/>
    </row>
    <row r="800" ht="15.75" customHeight="1">
      <c r="H800" s="16"/>
    </row>
    <row r="801" ht="15.75" customHeight="1">
      <c r="H801" s="16"/>
    </row>
    <row r="802" ht="15.75" customHeight="1">
      <c r="H802" s="16"/>
    </row>
    <row r="803" ht="15.75" customHeight="1">
      <c r="H803" s="16"/>
    </row>
    <row r="804" ht="15.75" customHeight="1">
      <c r="H804" s="16"/>
    </row>
    <row r="805" ht="15.75" customHeight="1">
      <c r="H805" s="16"/>
    </row>
    <row r="806" ht="15.75" customHeight="1">
      <c r="H806" s="16"/>
    </row>
    <row r="807" ht="15.75" customHeight="1">
      <c r="H807" s="16"/>
    </row>
    <row r="808" ht="15.75" customHeight="1">
      <c r="H808" s="16"/>
    </row>
    <row r="809" ht="15.75" customHeight="1">
      <c r="H809" s="16"/>
    </row>
    <row r="810" ht="15.75" customHeight="1">
      <c r="H810" s="16"/>
    </row>
    <row r="811" ht="15.75" customHeight="1">
      <c r="H811" s="16"/>
    </row>
    <row r="812" ht="15.75" customHeight="1">
      <c r="H812" s="16"/>
    </row>
    <row r="813" ht="15.75" customHeight="1">
      <c r="H813" s="16"/>
    </row>
    <row r="814" ht="15.75" customHeight="1">
      <c r="H814" s="16"/>
    </row>
    <row r="815" ht="15.75" customHeight="1">
      <c r="H815" s="16"/>
    </row>
    <row r="816" ht="15.75" customHeight="1">
      <c r="H816" s="16"/>
    </row>
    <row r="817" ht="15.75" customHeight="1">
      <c r="H817" s="16"/>
    </row>
    <row r="818" ht="15.75" customHeight="1">
      <c r="H818" s="16"/>
    </row>
    <row r="819" ht="15.75" customHeight="1">
      <c r="H819" s="16"/>
    </row>
    <row r="820" ht="15.75" customHeight="1">
      <c r="H820" s="16"/>
    </row>
    <row r="821" ht="15.75" customHeight="1">
      <c r="H821" s="16"/>
    </row>
    <row r="822" ht="15.75" customHeight="1">
      <c r="H822" s="16"/>
    </row>
    <row r="823" ht="15.75" customHeight="1">
      <c r="H823" s="16"/>
    </row>
    <row r="824" ht="15.75" customHeight="1">
      <c r="H824" s="16"/>
    </row>
    <row r="825" ht="15.75" customHeight="1">
      <c r="H825" s="16"/>
    </row>
    <row r="826" ht="15.75" customHeight="1">
      <c r="H826" s="16"/>
    </row>
    <row r="827" ht="15.75" customHeight="1">
      <c r="H827" s="16"/>
    </row>
    <row r="828" ht="15.75" customHeight="1">
      <c r="H828" s="16"/>
    </row>
    <row r="829" ht="15.75" customHeight="1">
      <c r="H829" s="16"/>
    </row>
    <row r="830" ht="15.75" customHeight="1">
      <c r="H830" s="16"/>
    </row>
    <row r="831" ht="15.75" customHeight="1">
      <c r="H831" s="16"/>
    </row>
    <row r="832" ht="15.75" customHeight="1">
      <c r="H832" s="16"/>
    </row>
    <row r="833" ht="15.75" customHeight="1">
      <c r="H833" s="16"/>
    </row>
    <row r="834" ht="15.75" customHeight="1">
      <c r="H834" s="16"/>
    </row>
    <row r="835" ht="15.75" customHeight="1">
      <c r="H835" s="16"/>
    </row>
    <row r="836" ht="15.75" customHeight="1">
      <c r="H836" s="16"/>
    </row>
    <row r="837" ht="15.75" customHeight="1">
      <c r="H837" s="16"/>
    </row>
    <row r="838" ht="15.75" customHeight="1">
      <c r="H838" s="16"/>
    </row>
    <row r="839" ht="15.75" customHeight="1">
      <c r="H839" s="16"/>
    </row>
    <row r="840" ht="15.75" customHeight="1">
      <c r="H840" s="16"/>
    </row>
    <row r="841" ht="15.75" customHeight="1">
      <c r="H841" s="16"/>
    </row>
    <row r="842" ht="15.75" customHeight="1">
      <c r="H842" s="16"/>
    </row>
    <row r="843" ht="15.75" customHeight="1">
      <c r="H843" s="16"/>
    </row>
    <row r="844" ht="15.75" customHeight="1">
      <c r="H844" s="16"/>
    </row>
    <row r="845" ht="15.75" customHeight="1">
      <c r="H845" s="16"/>
    </row>
    <row r="846" ht="15.75" customHeight="1">
      <c r="H846" s="16"/>
    </row>
    <row r="847" ht="15.75" customHeight="1">
      <c r="H847" s="16"/>
    </row>
    <row r="848" ht="15.75" customHeight="1">
      <c r="H848" s="16"/>
    </row>
    <row r="849" ht="15.75" customHeight="1">
      <c r="H849" s="16"/>
    </row>
    <row r="850" ht="15.75" customHeight="1">
      <c r="H850" s="16"/>
    </row>
    <row r="851" ht="15.75" customHeight="1">
      <c r="H851" s="16"/>
    </row>
    <row r="852" ht="15.75" customHeight="1">
      <c r="H852" s="16"/>
    </row>
    <row r="853" ht="15.75" customHeight="1">
      <c r="H853" s="16"/>
    </row>
    <row r="854" ht="15.75" customHeight="1">
      <c r="H854" s="16"/>
    </row>
    <row r="855" ht="15.75" customHeight="1">
      <c r="H855" s="16"/>
    </row>
    <row r="856" ht="15.75" customHeight="1">
      <c r="H856" s="16"/>
    </row>
    <row r="857" ht="15.75" customHeight="1">
      <c r="H857" s="16"/>
    </row>
    <row r="858" ht="15.75" customHeight="1">
      <c r="H858" s="16"/>
    </row>
    <row r="859" ht="15.75" customHeight="1">
      <c r="H859" s="16"/>
    </row>
    <row r="860" ht="15.75" customHeight="1">
      <c r="H860" s="16"/>
    </row>
    <row r="861" ht="15.75" customHeight="1">
      <c r="H861" s="16"/>
    </row>
    <row r="862" ht="15.75" customHeight="1">
      <c r="H862" s="16"/>
    </row>
    <row r="863" ht="15.75" customHeight="1">
      <c r="H863" s="16"/>
    </row>
    <row r="864" ht="15.75" customHeight="1">
      <c r="H864" s="16"/>
    </row>
    <row r="865" ht="15.75" customHeight="1">
      <c r="H865" s="16"/>
    </row>
    <row r="866" ht="15.75" customHeight="1">
      <c r="H866" s="16"/>
    </row>
    <row r="867" ht="15.75" customHeight="1">
      <c r="H867" s="16"/>
    </row>
    <row r="868" ht="15.75" customHeight="1">
      <c r="H868" s="16"/>
    </row>
    <row r="869" ht="15.75" customHeight="1">
      <c r="H869" s="16"/>
    </row>
    <row r="870" ht="15.75" customHeight="1">
      <c r="H870" s="16"/>
    </row>
    <row r="871" ht="15.75" customHeight="1">
      <c r="H871" s="16"/>
    </row>
    <row r="872" ht="15.75" customHeight="1">
      <c r="H872" s="16"/>
    </row>
    <row r="873" ht="15.75" customHeight="1">
      <c r="H873" s="16"/>
    </row>
    <row r="874" ht="15.75" customHeight="1">
      <c r="H874" s="16"/>
    </row>
    <row r="875" ht="15.75" customHeight="1">
      <c r="H875" s="16"/>
    </row>
    <row r="876" ht="15.75" customHeight="1">
      <c r="H876" s="16"/>
    </row>
    <row r="877" ht="15.75" customHeight="1">
      <c r="H877" s="16"/>
    </row>
    <row r="878" ht="15.75" customHeight="1">
      <c r="H878" s="16"/>
    </row>
    <row r="879" ht="15.75" customHeight="1">
      <c r="H879" s="16"/>
    </row>
    <row r="880" ht="15.75" customHeight="1">
      <c r="H880" s="16"/>
    </row>
    <row r="881" ht="15.75" customHeight="1">
      <c r="H881" s="16"/>
    </row>
    <row r="882" ht="15.75" customHeight="1">
      <c r="H882" s="16"/>
    </row>
    <row r="883" ht="15.75" customHeight="1">
      <c r="H883" s="16"/>
    </row>
    <row r="884" ht="15.75" customHeight="1">
      <c r="H884" s="16"/>
    </row>
    <row r="885" ht="15.75" customHeight="1">
      <c r="H885" s="16"/>
    </row>
    <row r="886" ht="15.75" customHeight="1">
      <c r="H886" s="16"/>
    </row>
    <row r="887" ht="15.75" customHeight="1">
      <c r="H887" s="16"/>
    </row>
    <row r="888" ht="15.75" customHeight="1">
      <c r="H888" s="16"/>
    </row>
    <row r="889" ht="15.75" customHeight="1">
      <c r="H889" s="16"/>
    </row>
    <row r="890" ht="15.75" customHeight="1">
      <c r="H890" s="16"/>
    </row>
    <row r="891" ht="15.75" customHeight="1">
      <c r="H891" s="16"/>
    </row>
    <row r="892" ht="15.75" customHeight="1">
      <c r="H892" s="16"/>
    </row>
    <row r="893" ht="15.75" customHeight="1">
      <c r="H893" s="16"/>
    </row>
    <row r="894" ht="15.75" customHeight="1">
      <c r="H894" s="16"/>
    </row>
    <row r="895" ht="15.75" customHeight="1">
      <c r="H895" s="16"/>
    </row>
    <row r="896" ht="15.75" customHeight="1">
      <c r="H896" s="16"/>
    </row>
    <row r="897" ht="15.75" customHeight="1">
      <c r="H897" s="16"/>
    </row>
    <row r="898" ht="15.75" customHeight="1">
      <c r="H898" s="16"/>
    </row>
    <row r="899" ht="15.75" customHeight="1">
      <c r="H899" s="16"/>
    </row>
    <row r="900" ht="15.75" customHeight="1">
      <c r="H900" s="16"/>
    </row>
    <row r="901" ht="15.75" customHeight="1">
      <c r="H901" s="16"/>
    </row>
    <row r="902" ht="15.75" customHeight="1">
      <c r="H902" s="16"/>
    </row>
    <row r="903" ht="15.75" customHeight="1">
      <c r="H903" s="16"/>
    </row>
    <row r="904" ht="15.75" customHeight="1">
      <c r="H904" s="16"/>
    </row>
    <row r="905" ht="15.75" customHeight="1">
      <c r="H905" s="16"/>
    </row>
    <row r="906" ht="15.75" customHeight="1">
      <c r="H906" s="16"/>
    </row>
    <row r="907" ht="15.75" customHeight="1">
      <c r="H907" s="16"/>
    </row>
    <row r="908" ht="15.75" customHeight="1">
      <c r="H908" s="16"/>
    </row>
    <row r="909" ht="15.75" customHeight="1">
      <c r="H909" s="16"/>
    </row>
    <row r="910" ht="15.75" customHeight="1">
      <c r="H910" s="16"/>
    </row>
    <row r="911" ht="15.75" customHeight="1">
      <c r="H911" s="16"/>
    </row>
    <row r="912" ht="15.75" customHeight="1">
      <c r="H912" s="16"/>
    </row>
    <row r="913" ht="15.75" customHeight="1">
      <c r="H913" s="16"/>
    </row>
    <row r="914" ht="15.75" customHeight="1">
      <c r="H914" s="16"/>
    </row>
    <row r="915" ht="15.75" customHeight="1">
      <c r="H915" s="16"/>
    </row>
    <row r="916" ht="15.75" customHeight="1">
      <c r="H916" s="16"/>
    </row>
    <row r="917" ht="15.75" customHeight="1">
      <c r="H917" s="16"/>
    </row>
    <row r="918" ht="15.75" customHeight="1">
      <c r="H918" s="16"/>
    </row>
    <row r="919" ht="15.75" customHeight="1">
      <c r="H919" s="16"/>
    </row>
    <row r="920" ht="15.75" customHeight="1">
      <c r="H920" s="16"/>
    </row>
    <row r="921" ht="15.75" customHeight="1">
      <c r="H921" s="16"/>
    </row>
    <row r="922" ht="15.75" customHeight="1">
      <c r="H922" s="16"/>
    </row>
    <row r="923" ht="15.75" customHeight="1">
      <c r="H923" s="16"/>
    </row>
    <row r="924" ht="15.75" customHeight="1">
      <c r="H924" s="16"/>
    </row>
    <row r="925" ht="15.75" customHeight="1">
      <c r="H925" s="16"/>
    </row>
    <row r="926" ht="15.75" customHeight="1">
      <c r="H926" s="16"/>
    </row>
    <row r="927" ht="15.75" customHeight="1">
      <c r="H927" s="16"/>
    </row>
    <row r="928" ht="15.75" customHeight="1">
      <c r="H928" s="16"/>
    </row>
    <row r="929" ht="15.75" customHeight="1">
      <c r="H929" s="16"/>
    </row>
    <row r="930" ht="15.75" customHeight="1">
      <c r="H930" s="16"/>
    </row>
    <row r="931" ht="15.75" customHeight="1">
      <c r="H931" s="16"/>
    </row>
    <row r="932" ht="15.75" customHeight="1">
      <c r="H932" s="16"/>
    </row>
    <row r="933" ht="15.75" customHeight="1">
      <c r="H933" s="16"/>
    </row>
    <row r="934" ht="15.75" customHeight="1">
      <c r="H934" s="16"/>
    </row>
    <row r="935" ht="15.75" customHeight="1">
      <c r="H935" s="16"/>
    </row>
    <row r="936" ht="15.75" customHeight="1">
      <c r="H936" s="16"/>
    </row>
    <row r="937" ht="15.75" customHeight="1">
      <c r="H937" s="16"/>
    </row>
    <row r="938" ht="15.75" customHeight="1">
      <c r="H938" s="16"/>
    </row>
    <row r="939" ht="15.75" customHeight="1">
      <c r="H939" s="16"/>
    </row>
    <row r="940" ht="15.75" customHeight="1">
      <c r="H940" s="16"/>
    </row>
    <row r="941" ht="15.75" customHeight="1">
      <c r="H941" s="16"/>
    </row>
    <row r="942" ht="15.75" customHeight="1">
      <c r="H942" s="16"/>
    </row>
    <row r="943" ht="15.75" customHeight="1">
      <c r="H943" s="16"/>
    </row>
    <row r="944" ht="15.75" customHeight="1">
      <c r="H944" s="16"/>
    </row>
    <row r="945" ht="15.75" customHeight="1">
      <c r="H945" s="16"/>
    </row>
    <row r="946" ht="15.75" customHeight="1">
      <c r="H946" s="16"/>
    </row>
    <row r="947" ht="15.75" customHeight="1">
      <c r="H947" s="16"/>
    </row>
    <row r="948" ht="15.75" customHeight="1">
      <c r="H948" s="16"/>
    </row>
    <row r="949" ht="15.75" customHeight="1">
      <c r="H949" s="16"/>
    </row>
    <row r="950" ht="15.75" customHeight="1">
      <c r="H950" s="16"/>
    </row>
    <row r="951" ht="15.75" customHeight="1">
      <c r="H951" s="16"/>
    </row>
    <row r="952" ht="15.75" customHeight="1">
      <c r="H952" s="16"/>
    </row>
    <row r="953" ht="15.75" customHeight="1">
      <c r="H953" s="16"/>
    </row>
    <row r="954" ht="15.75" customHeight="1">
      <c r="H954" s="16"/>
    </row>
    <row r="955" ht="15.75" customHeight="1">
      <c r="H955" s="16"/>
    </row>
    <row r="956" ht="15.75" customHeight="1">
      <c r="H956" s="16"/>
    </row>
    <row r="957" ht="15.75" customHeight="1">
      <c r="H957" s="16"/>
    </row>
    <row r="958" ht="15.75" customHeight="1">
      <c r="H958" s="16"/>
    </row>
    <row r="959" ht="15.75" customHeight="1">
      <c r="H959" s="16"/>
    </row>
    <row r="960" ht="15.75" customHeight="1">
      <c r="H960" s="16"/>
    </row>
    <row r="961" ht="15.75" customHeight="1">
      <c r="H961" s="16"/>
    </row>
    <row r="962" ht="15.75" customHeight="1">
      <c r="H962" s="16"/>
    </row>
    <row r="963" ht="15.75" customHeight="1">
      <c r="H963" s="16"/>
    </row>
    <row r="964" ht="15.75" customHeight="1">
      <c r="H964" s="16"/>
    </row>
    <row r="965" ht="15.75" customHeight="1">
      <c r="H965" s="16"/>
    </row>
    <row r="966" ht="15.75" customHeight="1">
      <c r="H966" s="16"/>
    </row>
    <row r="967" ht="15.75" customHeight="1">
      <c r="H967" s="16"/>
    </row>
    <row r="968" ht="15.75" customHeight="1">
      <c r="H968" s="16"/>
    </row>
    <row r="969" ht="15.75" customHeight="1">
      <c r="H969" s="16"/>
    </row>
    <row r="970" ht="15.75" customHeight="1">
      <c r="H970" s="16"/>
    </row>
    <row r="971" ht="15.75" customHeight="1">
      <c r="H971" s="16"/>
    </row>
    <row r="972" ht="15.75" customHeight="1">
      <c r="H972" s="16"/>
    </row>
    <row r="973" ht="15.75" customHeight="1">
      <c r="H973" s="16"/>
    </row>
    <row r="974" ht="15.75" customHeight="1">
      <c r="H974" s="16"/>
    </row>
    <row r="975" ht="15.75" customHeight="1">
      <c r="H975" s="16"/>
    </row>
    <row r="976" ht="15.75" customHeight="1">
      <c r="H976" s="16"/>
    </row>
    <row r="977" ht="15.75" customHeight="1">
      <c r="H977" s="16"/>
    </row>
    <row r="978" ht="15.75" customHeight="1">
      <c r="H978" s="16"/>
    </row>
    <row r="979" ht="15.75" customHeight="1">
      <c r="H979" s="16"/>
    </row>
    <row r="980" ht="15.75" customHeight="1">
      <c r="H980" s="16"/>
    </row>
    <row r="981" ht="15.75" customHeight="1">
      <c r="H981" s="16"/>
    </row>
    <row r="982" ht="15.75" customHeight="1">
      <c r="H982" s="16"/>
    </row>
    <row r="983" ht="15.75" customHeight="1">
      <c r="H983" s="16"/>
    </row>
    <row r="984" ht="15.75" customHeight="1">
      <c r="H984" s="16"/>
    </row>
    <row r="985" ht="15.75" customHeight="1">
      <c r="H985" s="16"/>
    </row>
    <row r="986" ht="15.75" customHeight="1">
      <c r="H986" s="16"/>
    </row>
    <row r="987" ht="15.75" customHeight="1">
      <c r="H987" s="16"/>
    </row>
    <row r="988" ht="15.75" customHeight="1">
      <c r="H988" s="16"/>
    </row>
    <row r="989" ht="15.75" customHeight="1">
      <c r="H989" s="16"/>
    </row>
    <row r="990" ht="15.75" customHeight="1">
      <c r="H990" s="16"/>
    </row>
    <row r="991" ht="15.75" customHeight="1">
      <c r="H991" s="16"/>
    </row>
    <row r="992" ht="15.75" customHeight="1">
      <c r="H992" s="16"/>
    </row>
    <row r="993" ht="15.75" customHeight="1">
      <c r="H993" s="16"/>
    </row>
    <row r="994" ht="15.75" customHeight="1">
      <c r="H994" s="16"/>
    </row>
    <row r="995" ht="15.75" customHeight="1">
      <c r="H995" s="16"/>
    </row>
    <row r="996" ht="15.75" customHeight="1">
      <c r="H996" s="16"/>
    </row>
    <row r="997" ht="15.75" customHeight="1">
      <c r="H997" s="16"/>
    </row>
  </sheetData>
  <conditionalFormatting sqref="A2:H288">
    <cfRule type="expression" dxfId="0" priority="1" stopIfTrue="1">
      <formula>COUNTIF(ARRAYFORMULA($A$2:$A$288&amp;$B$2:$B$288&amp;$C$2:$C$288&amp;$D$2:$D$288&amp;$E$2:$E$288&amp;$F$2:$F$288&amp;$G$2:$G$288&amp;$H$2:$H$288), $A2&amp;$B2&amp;$C2&amp;$D2&amp;$E2&amp;$F2&amp;$G2&amp;$H2)&gt;1</formula>
    </cfRule>
  </conditionalFormatting>
  <hyperlinks>
    <hyperlink r:id="rId1" ref="D283"/>
    <hyperlink r:id="rId2" ref="D301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633</v>
      </c>
      <c r="B1" s="12" t="s">
        <v>634</v>
      </c>
    </row>
    <row r="2">
      <c r="A2" s="12" t="s">
        <v>635</v>
      </c>
      <c r="B2" s="12" t="s">
        <v>636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9.86"/>
    <col customWidth="1" min="3" max="3" width="19.71"/>
    <col customWidth="1" min="4" max="4" width="12.57"/>
    <col customWidth="1" min="5" max="26" width="8.71"/>
  </cols>
  <sheetData>
    <row r="1">
      <c r="A1" s="8" t="s">
        <v>637</v>
      </c>
      <c r="B1" s="8" t="s">
        <v>638</v>
      </c>
      <c r="C1" s="8" t="s">
        <v>639</v>
      </c>
      <c r="D1" s="8" t="s">
        <v>640</v>
      </c>
    </row>
    <row r="2">
      <c r="A2" s="8" t="s">
        <v>641</v>
      </c>
      <c r="B2" s="8" t="s">
        <v>642</v>
      </c>
      <c r="C2" s="8" t="s">
        <v>642</v>
      </c>
      <c r="D2" s="8" t="s">
        <v>643</v>
      </c>
    </row>
    <row r="3">
      <c r="A3" s="8" t="s">
        <v>644</v>
      </c>
      <c r="B3" s="8" t="s">
        <v>645</v>
      </c>
      <c r="C3" s="8" t="s">
        <v>645</v>
      </c>
      <c r="D3" s="8" t="s">
        <v>643</v>
      </c>
    </row>
    <row r="4">
      <c r="A4" s="8" t="s">
        <v>646</v>
      </c>
      <c r="B4" s="8" t="s">
        <v>647</v>
      </c>
      <c r="C4" s="8" t="s">
        <v>648</v>
      </c>
      <c r="D4" s="8" t="s">
        <v>643</v>
      </c>
    </row>
    <row r="5">
      <c r="A5" s="8" t="s">
        <v>649</v>
      </c>
      <c r="B5" s="8" t="s">
        <v>650</v>
      </c>
      <c r="C5" s="8" t="s">
        <v>648</v>
      </c>
      <c r="D5" s="8" t="s">
        <v>643</v>
      </c>
    </row>
    <row r="6">
      <c r="A6" s="8" t="s">
        <v>651</v>
      </c>
      <c r="B6" s="8" t="s">
        <v>652</v>
      </c>
      <c r="C6" s="8" t="s">
        <v>653</v>
      </c>
      <c r="D6" s="8" t="s">
        <v>643</v>
      </c>
    </row>
    <row r="7">
      <c r="A7" s="8" t="s">
        <v>654</v>
      </c>
      <c r="B7" s="8" t="s">
        <v>655</v>
      </c>
      <c r="C7" s="8" t="s">
        <v>656</v>
      </c>
      <c r="D7" s="8" t="s">
        <v>643</v>
      </c>
    </row>
    <row r="8">
      <c r="A8" s="8" t="s">
        <v>657</v>
      </c>
      <c r="B8" s="8" t="s">
        <v>655</v>
      </c>
      <c r="C8" s="8" t="s">
        <v>656</v>
      </c>
      <c r="D8" s="8" t="s">
        <v>643</v>
      </c>
    </row>
    <row r="9">
      <c r="A9" s="8" t="s">
        <v>658</v>
      </c>
      <c r="B9" s="8" t="s">
        <v>659</v>
      </c>
      <c r="C9" s="8" t="s">
        <v>660</v>
      </c>
      <c r="D9" s="8" t="s">
        <v>643</v>
      </c>
    </row>
    <row r="10">
      <c r="A10" s="8" t="s">
        <v>661</v>
      </c>
      <c r="B10" s="8" t="s">
        <v>662</v>
      </c>
      <c r="C10" s="8" t="s">
        <v>663</v>
      </c>
      <c r="D10" s="8" t="s">
        <v>643</v>
      </c>
    </row>
    <row r="11">
      <c r="A11" s="8" t="s">
        <v>664</v>
      </c>
      <c r="B11" s="8" t="s">
        <v>665</v>
      </c>
      <c r="C11" s="8" t="s">
        <v>665</v>
      </c>
      <c r="D11" s="8" t="s">
        <v>643</v>
      </c>
    </row>
    <row r="12">
      <c r="A12" s="8" t="s">
        <v>666</v>
      </c>
      <c r="B12" s="8" t="s">
        <v>667</v>
      </c>
      <c r="C12" s="8" t="s">
        <v>667</v>
      </c>
      <c r="D12" s="8" t="s">
        <v>643</v>
      </c>
    </row>
    <row r="13">
      <c r="A13" s="8" t="s">
        <v>668</v>
      </c>
      <c r="B13" s="8" t="s">
        <v>669</v>
      </c>
      <c r="C13" s="8" t="s">
        <v>669</v>
      </c>
      <c r="D13" s="8" t="s">
        <v>643</v>
      </c>
    </row>
    <row r="14">
      <c r="A14" s="8" t="s">
        <v>670</v>
      </c>
      <c r="B14" s="8" t="s">
        <v>671</v>
      </c>
      <c r="C14" s="8" t="s">
        <v>672</v>
      </c>
      <c r="D14" s="8" t="s">
        <v>643</v>
      </c>
    </row>
    <row r="15">
      <c r="A15" s="8" t="s">
        <v>673</v>
      </c>
      <c r="B15" s="8" t="s">
        <v>674</v>
      </c>
      <c r="C15" s="8" t="s">
        <v>675</v>
      </c>
      <c r="D15" s="8" t="s">
        <v>643</v>
      </c>
    </row>
    <row r="16">
      <c r="A16" s="8" t="s">
        <v>676</v>
      </c>
      <c r="B16" s="8" t="s">
        <v>677</v>
      </c>
      <c r="C16" s="8" t="s">
        <v>678</v>
      </c>
      <c r="D16" s="8" t="s">
        <v>643</v>
      </c>
    </row>
    <row r="17">
      <c r="A17" s="8" t="s">
        <v>679</v>
      </c>
      <c r="B17" s="8" t="s">
        <v>680</v>
      </c>
      <c r="C17" s="8" t="s">
        <v>680</v>
      </c>
      <c r="D17" s="8" t="s">
        <v>643</v>
      </c>
    </row>
    <row r="18">
      <c r="A18" s="8" t="s">
        <v>681</v>
      </c>
      <c r="B18" s="8" t="s">
        <v>682</v>
      </c>
      <c r="C18" s="8" t="s">
        <v>682</v>
      </c>
      <c r="D18" s="8" t="s">
        <v>643</v>
      </c>
    </row>
    <row r="19">
      <c r="A19" s="8" t="s">
        <v>683</v>
      </c>
      <c r="B19" s="8" t="s">
        <v>684</v>
      </c>
      <c r="C19" s="8" t="s">
        <v>684</v>
      </c>
      <c r="D19" s="8" t="s">
        <v>643</v>
      </c>
    </row>
    <row r="20">
      <c r="A20" s="8" t="s">
        <v>685</v>
      </c>
      <c r="B20" s="8" t="s">
        <v>29</v>
      </c>
      <c r="C20" s="8" t="s">
        <v>29</v>
      </c>
      <c r="D20" s="8" t="s">
        <v>686</v>
      </c>
    </row>
    <row r="21" ht="15.75" customHeight="1">
      <c r="A21" s="8" t="s">
        <v>193</v>
      </c>
      <c r="B21" s="8" t="s">
        <v>687</v>
      </c>
      <c r="C21" s="8" t="s">
        <v>29</v>
      </c>
      <c r="D21" s="8" t="s">
        <v>686</v>
      </c>
    </row>
    <row r="22" ht="15.75" customHeight="1">
      <c r="A22" s="8" t="s">
        <v>688</v>
      </c>
      <c r="B22" s="8" t="s">
        <v>64</v>
      </c>
      <c r="C22" s="8" t="s">
        <v>29</v>
      </c>
      <c r="D22" s="8" t="s">
        <v>686</v>
      </c>
    </row>
    <row r="23" ht="15.75" customHeight="1">
      <c r="A23" s="8" t="s">
        <v>689</v>
      </c>
      <c r="B23" s="8" t="s">
        <v>90</v>
      </c>
      <c r="C23" s="8" t="s">
        <v>90</v>
      </c>
      <c r="D23" s="8" t="s">
        <v>686</v>
      </c>
    </row>
    <row r="24" ht="15.75" customHeight="1">
      <c r="A24" s="8" t="s">
        <v>690</v>
      </c>
      <c r="B24" s="8" t="s">
        <v>61</v>
      </c>
      <c r="C24" s="8" t="s">
        <v>90</v>
      </c>
      <c r="D24" s="8" t="s">
        <v>686</v>
      </c>
    </row>
    <row r="25" ht="15.75" customHeight="1">
      <c r="A25" s="8" t="s">
        <v>691</v>
      </c>
      <c r="B25" s="8" t="s">
        <v>692</v>
      </c>
      <c r="C25" s="8" t="s">
        <v>692</v>
      </c>
      <c r="D25" s="8" t="s">
        <v>686</v>
      </c>
    </row>
    <row r="26" ht="15.75" customHeight="1">
      <c r="A26" s="8" t="s">
        <v>693</v>
      </c>
      <c r="B26" s="8" t="s">
        <v>694</v>
      </c>
      <c r="C26" s="8" t="s">
        <v>694</v>
      </c>
      <c r="D26" s="8" t="s">
        <v>686</v>
      </c>
    </row>
    <row r="27" ht="15.75" customHeight="1">
      <c r="A27" s="8" t="s">
        <v>695</v>
      </c>
      <c r="B27" s="8" t="s">
        <v>696</v>
      </c>
      <c r="C27" s="8" t="s">
        <v>697</v>
      </c>
      <c r="D27" s="8" t="s">
        <v>698</v>
      </c>
    </row>
    <row r="28" ht="15.75" customHeight="1">
      <c r="A28" s="8" t="s">
        <v>699</v>
      </c>
      <c r="B28" s="8" t="s">
        <v>700</v>
      </c>
      <c r="C28" s="8" t="s">
        <v>700</v>
      </c>
      <c r="D28" s="8" t="s">
        <v>698</v>
      </c>
    </row>
    <row r="29" ht="15.75" customHeight="1">
      <c r="A29" s="8" t="s">
        <v>701</v>
      </c>
      <c r="B29" s="8" t="s">
        <v>702</v>
      </c>
      <c r="C29" s="8" t="s">
        <v>702</v>
      </c>
      <c r="D29" s="8" t="s">
        <v>698</v>
      </c>
    </row>
    <row r="30" ht="15.75" customHeight="1">
      <c r="A30" s="8" t="s">
        <v>703</v>
      </c>
      <c r="B30" s="8" t="s">
        <v>704</v>
      </c>
      <c r="C30" s="8" t="s">
        <v>705</v>
      </c>
      <c r="D30" s="8" t="s">
        <v>698</v>
      </c>
    </row>
    <row r="31" ht="15.75" customHeight="1">
      <c r="A31" s="8" t="s">
        <v>706</v>
      </c>
      <c r="B31" s="8" t="s">
        <v>707</v>
      </c>
      <c r="C31" s="8" t="s">
        <v>707</v>
      </c>
      <c r="D31" s="8" t="s">
        <v>698</v>
      </c>
    </row>
    <row r="32" ht="15.75" customHeight="1">
      <c r="A32" s="8" t="s">
        <v>708</v>
      </c>
      <c r="B32" s="8" t="s">
        <v>709</v>
      </c>
      <c r="C32" s="8" t="s">
        <v>709</v>
      </c>
      <c r="D32" s="8" t="s">
        <v>698</v>
      </c>
    </row>
    <row r="33" ht="15.75" customHeight="1">
      <c r="A33" s="8" t="s">
        <v>710</v>
      </c>
      <c r="B33" s="8" t="s">
        <v>711</v>
      </c>
      <c r="C33" s="8" t="s">
        <v>711</v>
      </c>
      <c r="D33" s="8" t="s">
        <v>698</v>
      </c>
    </row>
    <row r="34" ht="15.75" customHeight="1">
      <c r="A34" s="8" t="s">
        <v>712</v>
      </c>
      <c r="B34" s="8" t="s">
        <v>713</v>
      </c>
      <c r="C34" s="8" t="s">
        <v>714</v>
      </c>
      <c r="D34" s="8" t="s">
        <v>698</v>
      </c>
    </row>
    <row r="35" ht="15.75" customHeight="1">
      <c r="A35" s="8" t="s">
        <v>715</v>
      </c>
      <c r="B35" s="8" t="s">
        <v>716</v>
      </c>
      <c r="C35" s="8" t="s">
        <v>716</v>
      </c>
      <c r="D35" s="8" t="s">
        <v>698</v>
      </c>
    </row>
    <row r="36" ht="15.75" customHeight="1">
      <c r="A36" s="8" t="s">
        <v>717</v>
      </c>
      <c r="B36" s="8" t="s">
        <v>718</v>
      </c>
      <c r="C36" s="8" t="s">
        <v>718</v>
      </c>
      <c r="D36" s="8" t="s">
        <v>698</v>
      </c>
    </row>
    <row r="37" ht="15.75" customHeight="1">
      <c r="A37" s="8" t="s">
        <v>719</v>
      </c>
      <c r="B37" s="8" t="s">
        <v>720</v>
      </c>
      <c r="C37" s="8" t="s">
        <v>720</v>
      </c>
      <c r="D37" s="8" t="s">
        <v>698</v>
      </c>
    </row>
    <row r="38" ht="15.75" customHeight="1">
      <c r="A38" s="8" t="s">
        <v>721</v>
      </c>
      <c r="B38" s="8" t="s">
        <v>722</v>
      </c>
      <c r="C38" s="8" t="s">
        <v>722</v>
      </c>
      <c r="D38" s="8" t="s">
        <v>698</v>
      </c>
    </row>
    <row r="39" ht="15.75" customHeight="1">
      <c r="A39" s="8" t="s">
        <v>723</v>
      </c>
      <c r="B39" s="8" t="s">
        <v>724</v>
      </c>
      <c r="C39" s="8" t="s">
        <v>724</v>
      </c>
      <c r="D39" s="8" t="s">
        <v>698</v>
      </c>
    </row>
    <row r="40" ht="15.75" customHeight="1">
      <c r="A40" s="8" t="s">
        <v>725</v>
      </c>
      <c r="B40" s="8" t="s">
        <v>726</v>
      </c>
      <c r="C40" s="8" t="s">
        <v>726</v>
      </c>
      <c r="D40" s="8" t="s">
        <v>698</v>
      </c>
    </row>
    <row r="41" ht="15.75" customHeight="1">
      <c r="A41" s="8" t="s">
        <v>727</v>
      </c>
      <c r="B41" s="8" t="s">
        <v>728</v>
      </c>
      <c r="C41" s="8" t="s">
        <v>728</v>
      </c>
      <c r="D41" s="8" t="s">
        <v>698</v>
      </c>
    </row>
    <row r="42" ht="15.75" customHeight="1">
      <c r="A42" s="8" t="s">
        <v>729</v>
      </c>
      <c r="B42" s="8" t="s">
        <v>730</v>
      </c>
      <c r="C42" s="8" t="s">
        <v>730</v>
      </c>
      <c r="D42" s="8" t="s">
        <v>698</v>
      </c>
    </row>
    <row r="43" ht="15.75" customHeight="1">
      <c r="A43" s="8" t="s">
        <v>731</v>
      </c>
      <c r="B43" s="8" t="s">
        <v>732</v>
      </c>
      <c r="C43" s="8" t="s">
        <v>732</v>
      </c>
      <c r="D43" s="8" t="s">
        <v>698</v>
      </c>
    </row>
    <row r="44" ht="15.75" customHeight="1">
      <c r="A44" s="8" t="s">
        <v>733</v>
      </c>
      <c r="B44" s="8" t="s">
        <v>734</v>
      </c>
      <c r="C44" s="8" t="s">
        <v>734</v>
      </c>
      <c r="D44" s="8" t="s">
        <v>698</v>
      </c>
    </row>
    <row r="45" ht="15.75" customHeight="1">
      <c r="A45" s="8" t="s">
        <v>735</v>
      </c>
      <c r="B45" s="8" t="s">
        <v>736</v>
      </c>
      <c r="C45" s="8" t="s">
        <v>736</v>
      </c>
      <c r="D45" s="8" t="s">
        <v>698</v>
      </c>
    </row>
    <row r="46" ht="15.75" customHeight="1">
      <c r="A46" s="8" t="s">
        <v>737</v>
      </c>
      <c r="B46" s="8" t="s">
        <v>738</v>
      </c>
      <c r="C46" s="8" t="s">
        <v>738</v>
      </c>
      <c r="D46" s="8" t="s">
        <v>698</v>
      </c>
    </row>
    <row r="47" ht="15.75" customHeight="1">
      <c r="A47" s="8" t="s">
        <v>739</v>
      </c>
      <c r="B47" s="8" t="s">
        <v>740</v>
      </c>
      <c r="C47" s="8" t="s">
        <v>740</v>
      </c>
      <c r="D47" s="8" t="s">
        <v>698</v>
      </c>
    </row>
    <row r="48" ht="15.75" customHeight="1">
      <c r="A48" s="8" t="s">
        <v>741</v>
      </c>
      <c r="B48" s="8" t="s">
        <v>742</v>
      </c>
      <c r="C48" s="8" t="s">
        <v>742</v>
      </c>
      <c r="D48" s="8" t="s">
        <v>698</v>
      </c>
    </row>
    <row r="49" ht="15.75" customHeight="1">
      <c r="A49" s="8" t="s">
        <v>743</v>
      </c>
      <c r="B49" s="8" t="s">
        <v>744</v>
      </c>
      <c r="C49" s="8" t="s">
        <v>745</v>
      </c>
      <c r="D49" s="8" t="s">
        <v>746</v>
      </c>
    </row>
    <row r="50" ht="15.75" customHeight="1">
      <c r="A50" s="8" t="s">
        <v>747</v>
      </c>
      <c r="B50" s="8" t="s">
        <v>748</v>
      </c>
      <c r="C50" s="8" t="s">
        <v>749</v>
      </c>
      <c r="D50" s="8" t="s">
        <v>746</v>
      </c>
    </row>
    <row r="51" ht="15.75" customHeight="1">
      <c r="A51" s="8" t="s">
        <v>750</v>
      </c>
      <c r="B51" s="8" t="s">
        <v>751</v>
      </c>
      <c r="C51" s="8" t="s">
        <v>752</v>
      </c>
      <c r="D51" s="8" t="s">
        <v>746</v>
      </c>
    </row>
    <row r="52" ht="15.75" customHeight="1">
      <c r="A52" s="8" t="s">
        <v>753</v>
      </c>
      <c r="B52" s="8" t="s">
        <v>754</v>
      </c>
      <c r="C52" s="8" t="s">
        <v>754</v>
      </c>
      <c r="D52" s="8" t="s">
        <v>746</v>
      </c>
    </row>
    <row r="53" ht="15.75" customHeight="1">
      <c r="A53" s="8" t="s">
        <v>755</v>
      </c>
      <c r="B53" s="8" t="s">
        <v>756</v>
      </c>
      <c r="C53" s="8" t="s">
        <v>757</v>
      </c>
      <c r="D53" s="8" t="s">
        <v>746</v>
      </c>
    </row>
    <row r="54" ht="15.75" customHeight="1">
      <c r="A54" s="8" t="s">
        <v>758</v>
      </c>
      <c r="B54" s="8" t="s">
        <v>759</v>
      </c>
      <c r="C54" s="8" t="s">
        <v>759</v>
      </c>
      <c r="D54" s="8" t="s">
        <v>746</v>
      </c>
    </row>
    <row r="55" ht="15.75" customHeight="1">
      <c r="A55" s="8" t="s">
        <v>760</v>
      </c>
      <c r="B55" s="8" t="s">
        <v>761</v>
      </c>
      <c r="C55" s="8" t="s">
        <v>762</v>
      </c>
      <c r="D55" s="8" t="s">
        <v>746</v>
      </c>
    </row>
    <row r="56" ht="15.75" customHeight="1">
      <c r="A56" s="8" t="s">
        <v>763</v>
      </c>
      <c r="B56" s="8" t="s">
        <v>764</v>
      </c>
      <c r="C56" s="8" t="s">
        <v>765</v>
      </c>
      <c r="D56" s="8" t="s">
        <v>746</v>
      </c>
    </row>
    <row r="57" ht="15.75" customHeight="1">
      <c r="A57" s="8" t="s">
        <v>766</v>
      </c>
      <c r="B57" s="8" t="s">
        <v>767</v>
      </c>
      <c r="C57" s="8" t="s">
        <v>768</v>
      </c>
      <c r="D57" s="8" t="s">
        <v>746</v>
      </c>
    </row>
    <row r="58" ht="15.75" customHeight="1">
      <c r="A58" s="8" t="s">
        <v>769</v>
      </c>
      <c r="B58" s="8" t="s">
        <v>770</v>
      </c>
      <c r="C58" s="8" t="s">
        <v>770</v>
      </c>
      <c r="D58" s="8" t="s">
        <v>771</v>
      </c>
    </row>
    <row r="59" ht="15.75" customHeight="1">
      <c r="A59" s="8" t="s">
        <v>772</v>
      </c>
      <c r="B59" s="8" t="s">
        <v>773</v>
      </c>
      <c r="C59" s="8" t="s">
        <v>773</v>
      </c>
      <c r="D59" s="8" t="s">
        <v>771</v>
      </c>
    </row>
    <row r="60" ht="15.75" customHeight="1">
      <c r="A60" s="8" t="s">
        <v>774</v>
      </c>
      <c r="B60" s="8" t="s">
        <v>417</v>
      </c>
      <c r="C60" s="8" t="s">
        <v>417</v>
      </c>
      <c r="D60" s="8" t="s">
        <v>771</v>
      </c>
    </row>
    <row r="61" ht="15.75" customHeight="1">
      <c r="A61" s="8" t="s">
        <v>775</v>
      </c>
      <c r="B61" s="8" t="s">
        <v>776</v>
      </c>
      <c r="C61" s="8" t="s">
        <v>777</v>
      </c>
      <c r="D61" s="8" t="s">
        <v>771</v>
      </c>
    </row>
    <row r="62" ht="15.75" customHeight="1">
      <c r="A62" s="8" t="s">
        <v>778</v>
      </c>
      <c r="B62" s="8" t="s">
        <v>779</v>
      </c>
      <c r="C62" s="8" t="s">
        <v>780</v>
      </c>
      <c r="D62" s="8" t="s">
        <v>771</v>
      </c>
    </row>
    <row r="63" ht="15.75" customHeight="1">
      <c r="A63" s="8" t="s">
        <v>781</v>
      </c>
      <c r="B63" s="8" t="s">
        <v>782</v>
      </c>
      <c r="C63" s="8" t="s">
        <v>782</v>
      </c>
      <c r="D63" s="8" t="s">
        <v>771</v>
      </c>
    </row>
    <row r="64" ht="15.75" customHeight="1">
      <c r="A64" s="8" t="s">
        <v>783</v>
      </c>
      <c r="B64" s="8" t="s">
        <v>784</v>
      </c>
      <c r="C64" s="8" t="s">
        <v>785</v>
      </c>
      <c r="D64" s="8" t="s">
        <v>771</v>
      </c>
    </row>
    <row r="65" ht="15.75" customHeight="1">
      <c r="A65" s="8" t="s">
        <v>786</v>
      </c>
      <c r="B65" s="8" t="s">
        <v>787</v>
      </c>
      <c r="C65" s="8" t="s">
        <v>788</v>
      </c>
      <c r="D65" s="8" t="s">
        <v>771</v>
      </c>
    </row>
    <row r="66" ht="15.75" customHeight="1">
      <c r="A66" s="8" t="s">
        <v>789</v>
      </c>
      <c r="B66" s="8" t="s">
        <v>790</v>
      </c>
      <c r="C66" s="8" t="s">
        <v>790</v>
      </c>
      <c r="D66" s="8" t="s">
        <v>771</v>
      </c>
    </row>
    <row r="67" ht="15.75" customHeight="1">
      <c r="A67" s="8" t="s">
        <v>791</v>
      </c>
      <c r="B67" s="8" t="s">
        <v>792</v>
      </c>
      <c r="C67" s="8" t="s">
        <v>793</v>
      </c>
      <c r="D67" s="8" t="s">
        <v>771</v>
      </c>
    </row>
    <row r="68" ht="15.75" customHeight="1">
      <c r="A68" s="8" t="s">
        <v>794</v>
      </c>
      <c r="B68" s="8" t="s">
        <v>795</v>
      </c>
      <c r="C68" s="8" t="s">
        <v>795</v>
      </c>
      <c r="D68" s="8" t="s">
        <v>771</v>
      </c>
    </row>
    <row r="69" ht="15.75" customHeight="1">
      <c r="A69" s="8" t="s">
        <v>796</v>
      </c>
      <c r="B69" s="8" t="s">
        <v>797</v>
      </c>
      <c r="C69" s="8" t="s">
        <v>797</v>
      </c>
      <c r="D69" s="8" t="s">
        <v>771</v>
      </c>
    </row>
    <row r="70" ht="15.75" customHeight="1">
      <c r="A70" s="8" t="s">
        <v>798</v>
      </c>
      <c r="B70" s="8" t="s">
        <v>799</v>
      </c>
      <c r="C70" s="8" t="s">
        <v>799</v>
      </c>
      <c r="D70" s="8" t="s">
        <v>771</v>
      </c>
    </row>
    <row r="71" ht="15.75" customHeight="1">
      <c r="A71" s="8" t="s">
        <v>800</v>
      </c>
      <c r="B71" s="8" t="s">
        <v>801</v>
      </c>
      <c r="C71" s="8" t="s">
        <v>801</v>
      </c>
      <c r="D71" s="8" t="s">
        <v>771</v>
      </c>
    </row>
    <row r="72" ht="15.75" customHeight="1">
      <c r="A72" s="8" t="s">
        <v>802</v>
      </c>
      <c r="B72" s="8" t="s">
        <v>803</v>
      </c>
      <c r="C72" s="8" t="s">
        <v>803</v>
      </c>
      <c r="D72" s="8" t="s">
        <v>771</v>
      </c>
    </row>
    <row r="73" ht="15.75" customHeight="1">
      <c r="A73" s="8" t="s">
        <v>804</v>
      </c>
      <c r="B73" s="8" t="s">
        <v>805</v>
      </c>
      <c r="C73" s="8" t="s">
        <v>805</v>
      </c>
      <c r="D73" s="8" t="s">
        <v>771</v>
      </c>
    </row>
    <row r="74" ht="15.75" customHeight="1">
      <c r="A74" s="8" t="s">
        <v>806</v>
      </c>
      <c r="B74" s="8" t="s">
        <v>807</v>
      </c>
      <c r="C74" s="8" t="s">
        <v>807</v>
      </c>
      <c r="D74" s="8" t="s">
        <v>808</v>
      </c>
    </row>
    <row r="75" ht="15.75" customHeight="1">
      <c r="A75" s="8" t="s">
        <v>809</v>
      </c>
      <c r="B75" s="8" t="s">
        <v>810</v>
      </c>
      <c r="C75" s="8" t="s">
        <v>810</v>
      </c>
      <c r="D75" s="8" t="s">
        <v>808</v>
      </c>
    </row>
    <row r="76" ht="15.75" customHeight="1">
      <c r="A76" s="8" t="s">
        <v>811</v>
      </c>
      <c r="B76" s="8" t="s">
        <v>812</v>
      </c>
      <c r="C76" s="8" t="s">
        <v>812</v>
      </c>
      <c r="D76" s="8" t="s">
        <v>808</v>
      </c>
    </row>
    <row r="77" ht="15.75" customHeight="1">
      <c r="A77" s="8" t="s">
        <v>813</v>
      </c>
      <c r="B77" s="8" t="s">
        <v>814</v>
      </c>
      <c r="C77" s="8" t="s">
        <v>814</v>
      </c>
      <c r="D77" s="8" t="s">
        <v>808</v>
      </c>
    </row>
    <row r="78" ht="15.75" customHeight="1">
      <c r="A78" s="8" t="s">
        <v>815</v>
      </c>
      <c r="B78" s="8" t="s">
        <v>816</v>
      </c>
      <c r="C78" s="8" t="s">
        <v>816</v>
      </c>
      <c r="D78" s="8" t="s">
        <v>808</v>
      </c>
    </row>
    <row r="79" ht="15.75" customHeight="1">
      <c r="A79" s="8" t="s">
        <v>817</v>
      </c>
      <c r="B79" s="8" t="s">
        <v>807</v>
      </c>
      <c r="C79" s="8" t="s">
        <v>807</v>
      </c>
      <c r="D79" s="8" t="s">
        <v>808</v>
      </c>
    </row>
    <row r="80" ht="15.75" customHeight="1">
      <c r="A80" s="8" t="s">
        <v>818</v>
      </c>
      <c r="B80" s="8" t="s">
        <v>816</v>
      </c>
      <c r="C80" s="8" t="s">
        <v>816</v>
      </c>
      <c r="D80" s="8" t="s">
        <v>808</v>
      </c>
    </row>
    <row r="81" ht="15.75" customHeight="1">
      <c r="A81" s="8" t="s">
        <v>819</v>
      </c>
      <c r="B81" s="8" t="s">
        <v>820</v>
      </c>
      <c r="C81" s="8" t="s">
        <v>821</v>
      </c>
      <c r="D81" s="8" t="s">
        <v>808</v>
      </c>
    </row>
    <row r="82" ht="15.75" customHeight="1">
      <c r="A82" s="8" t="s">
        <v>822</v>
      </c>
      <c r="B82" s="8" t="s">
        <v>823</v>
      </c>
      <c r="C82" s="8" t="s">
        <v>824</v>
      </c>
      <c r="D82" s="8" t="s">
        <v>808</v>
      </c>
    </row>
    <row r="83" ht="15.75" customHeight="1">
      <c r="A83" s="8" t="s">
        <v>825</v>
      </c>
      <c r="B83" s="8" t="s">
        <v>826</v>
      </c>
      <c r="C83" s="8" t="s">
        <v>826</v>
      </c>
      <c r="D83" s="8" t="s">
        <v>827</v>
      </c>
    </row>
    <row r="84" ht="15.75" customHeight="1">
      <c r="A84" s="8" t="s">
        <v>828</v>
      </c>
      <c r="B84" s="8" t="s">
        <v>829</v>
      </c>
      <c r="C84" s="8" t="s">
        <v>829</v>
      </c>
      <c r="D84" s="8" t="s">
        <v>827</v>
      </c>
    </row>
    <row r="85" ht="15.75" customHeight="1">
      <c r="A85" s="8" t="s">
        <v>830</v>
      </c>
      <c r="B85" s="8" t="s">
        <v>831</v>
      </c>
      <c r="C85" s="8" t="s">
        <v>832</v>
      </c>
      <c r="D85" s="8" t="s">
        <v>827</v>
      </c>
    </row>
    <row r="86" ht="15.75" customHeight="1">
      <c r="A86" s="8" t="s">
        <v>833</v>
      </c>
      <c r="B86" s="8" t="s">
        <v>834</v>
      </c>
      <c r="C86" s="8" t="s">
        <v>834</v>
      </c>
      <c r="D86" s="8" t="s">
        <v>827</v>
      </c>
    </row>
    <row r="87" ht="15.75" customHeight="1">
      <c r="A87" s="8" t="s">
        <v>835</v>
      </c>
      <c r="B87" s="8" t="s">
        <v>836</v>
      </c>
      <c r="C87" s="8" t="s">
        <v>834</v>
      </c>
      <c r="D87" s="8" t="s">
        <v>827</v>
      </c>
    </row>
    <row r="88" ht="15.75" customHeight="1">
      <c r="A88" s="8" t="s">
        <v>837</v>
      </c>
      <c r="B88" s="8" t="s">
        <v>838</v>
      </c>
      <c r="C88" s="8" t="s">
        <v>839</v>
      </c>
      <c r="D88" s="8" t="s">
        <v>827</v>
      </c>
    </row>
    <row r="89" ht="15.75" customHeight="1">
      <c r="A89" s="8" t="s">
        <v>840</v>
      </c>
      <c r="B89" s="8" t="s">
        <v>832</v>
      </c>
      <c r="C89" s="8" t="s">
        <v>832</v>
      </c>
      <c r="D89" s="8" t="s">
        <v>827</v>
      </c>
    </row>
    <row r="90" ht="15.75" customHeight="1">
      <c r="A90" s="8" t="s">
        <v>841</v>
      </c>
      <c r="B90" s="8" t="s">
        <v>842</v>
      </c>
      <c r="C90" s="8" t="s">
        <v>842</v>
      </c>
      <c r="D90" s="8" t="s">
        <v>827</v>
      </c>
    </row>
    <row r="91" ht="15.75" customHeight="1">
      <c r="A91" s="8" t="s">
        <v>843</v>
      </c>
      <c r="B91" s="8" t="s">
        <v>844</v>
      </c>
      <c r="C91" s="8" t="s">
        <v>844</v>
      </c>
      <c r="D91" s="8" t="s">
        <v>827</v>
      </c>
    </row>
    <row r="92" ht="15.75" customHeight="1">
      <c r="A92" s="8" t="s">
        <v>845</v>
      </c>
      <c r="B92" s="8" t="s">
        <v>846</v>
      </c>
      <c r="C92" s="8" t="s">
        <v>846</v>
      </c>
      <c r="D92" s="8" t="s">
        <v>827</v>
      </c>
    </row>
    <row r="93" ht="15.75" customHeight="1">
      <c r="A93" s="8" t="s">
        <v>847</v>
      </c>
      <c r="B93" s="8" t="s">
        <v>846</v>
      </c>
      <c r="C93" s="8" t="s">
        <v>846</v>
      </c>
      <c r="D93" s="8" t="s">
        <v>827</v>
      </c>
    </row>
    <row r="94" ht="15.75" customHeight="1">
      <c r="A94" s="8" t="s">
        <v>848</v>
      </c>
      <c r="B94" s="8" t="s">
        <v>849</v>
      </c>
      <c r="C94" s="8" t="s">
        <v>849</v>
      </c>
      <c r="D94" s="8" t="s">
        <v>827</v>
      </c>
    </row>
    <row r="95" ht="15.75" customHeight="1">
      <c r="A95" s="8" t="s">
        <v>850</v>
      </c>
      <c r="B95" s="8" t="s">
        <v>849</v>
      </c>
      <c r="C95" s="8" t="s">
        <v>849</v>
      </c>
      <c r="D95" s="8" t="s">
        <v>827</v>
      </c>
    </row>
    <row r="96" ht="15.75" customHeight="1">
      <c r="A96" s="8" t="s">
        <v>851</v>
      </c>
      <c r="B96" s="8" t="s">
        <v>852</v>
      </c>
      <c r="C96" s="8" t="s">
        <v>852</v>
      </c>
      <c r="D96" s="8" t="s">
        <v>827</v>
      </c>
    </row>
    <row r="97" ht="15.75" customHeight="1">
      <c r="A97" s="8" t="s">
        <v>853</v>
      </c>
      <c r="B97" s="8" t="s">
        <v>854</v>
      </c>
      <c r="C97" s="8" t="s">
        <v>854</v>
      </c>
      <c r="D97" s="8" t="s">
        <v>827</v>
      </c>
    </row>
    <row r="98" ht="15.75" customHeight="1">
      <c r="A98" s="8" t="s">
        <v>855</v>
      </c>
      <c r="B98" s="8" t="s">
        <v>856</v>
      </c>
      <c r="C98" s="8" t="s">
        <v>856</v>
      </c>
      <c r="D98" s="8" t="s">
        <v>827</v>
      </c>
    </row>
    <row r="99" ht="15.75" customHeight="1">
      <c r="A99" s="8" t="s">
        <v>857</v>
      </c>
      <c r="B99" s="8" t="s">
        <v>839</v>
      </c>
      <c r="C99" s="8" t="s">
        <v>839</v>
      </c>
      <c r="D99" s="8" t="s">
        <v>827</v>
      </c>
    </row>
    <row r="100" ht="15.75" customHeight="1">
      <c r="A100" s="8" t="s">
        <v>858</v>
      </c>
      <c r="B100" s="8" t="s">
        <v>859</v>
      </c>
      <c r="C100" s="8" t="s">
        <v>859</v>
      </c>
      <c r="D100" s="8" t="s">
        <v>827</v>
      </c>
    </row>
    <row r="101" ht="15.75" customHeight="1">
      <c r="A101" s="8" t="s">
        <v>860</v>
      </c>
      <c r="B101" s="8" t="s">
        <v>861</v>
      </c>
      <c r="C101" s="8" t="s">
        <v>861</v>
      </c>
      <c r="D101" s="8" t="s">
        <v>827</v>
      </c>
    </row>
    <row r="102" ht="15.75" customHeight="1">
      <c r="A102" s="8" t="s">
        <v>862</v>
      </c>
      <c r="B102" s="8" t="s">
        <v>863</v>
      </c>
      <c r="C102" s="8" t="s">
        <v>864</v>
      </c>
      <c r="D102" s="8" t="s">
        <v>827</v>
      </c>
    </row>
    <row r="103" ht="15.75" customHeight="1">
      <c r="A103" s="8" t="s">
        <v>865</v>
      </c>
      <c r="B103" s="8" t="s">
        <v>866</v>
      </c>
      <c r="C103" s="8" t="s">
        <v>866</v>
      </c>
      <c r="D103" s="8" t="s">
        <v>827</v>
      </c>
    </row>
    <row r="104" ht="15.75" customHeight="1">
      <c r="A104" s="8" t="s">
        <v>867</v>
      </c>
      <c r="B104" s="8" t="s">
        <v>868</v>
      </c>
      <c r="C104" s="8" t="s">
        <v>868</v>
      </c>
      <c r="D104" s="8" t="s">
        <v>827</v>
      </c>
    </row>
    <row r="105" ht="15.75" customHeight="1">
      <c r="A105" s="8" t="s">
        <v>869</v>
      </c>
      <c r="B105" s="8" t="s">
        <v>870</v>
      </c>
      <c r="C105" s="8" t="s">
        <v>870</v>
      </c>
      <c r="D105" s="8" t="s">
        <v>827</v>
      </c>
    </row>
    <row r="106" ht="15.75" customHeight="1">
      <c r="A106" s="8" t="s">
        <v>871</v>
      </c>
      <c r="B106" s="8" t="s">
        <v>872</v>
      </c>
      <c r="C106" s="8" t="s">
        <v>873</v>
      </c>
      <c r="D106" s="8" t="s">
        <v>827</v>
      </c>
    </row>
    <row r="107" ht="15.75" customHeight="1">
      <c r="A107" s="8" t="s">
        <v>874</v>
      </c>
      <c r="B107" s="8" t="s">
        <v>875</v>
      </c>
      <c r="C107" s="8" t="s">
        <v>875</v>
      </c>
      <c r="D107" s="8" t="s">
        <v>827</v>
      </c>
    </row>
    <row r="108" ht="15.75" customHeight="1">
      <c r="A108" s="8" t="s">
        <v>876</v>
      </c>
      <c r="B108" s="8" t="s">
        <v>877</v>
      </c>
      <c r="C108" s="8" t="s">
        <v>877</v>
      </c>
      <c r="D108" s="8" t="s">
        <v>827</v>
      </c>
    </row>
    <row r="109" ht="15.75" customHeight="1">
      <c r="A109" s="8" t="s">
        <v>878</v>
      </c>
      <c r="B109" s="8" t="s">
        <v>879</v>
      </c>
      <c r="C109" s="8" t="s">
        <v>879</v>
      </c>
      <c r="D109" s="8" t="s">
        <v>827</v>
      </c>
    </row>
    <row r="110" ht="15.75" customHeight="1">
      <c r="A110" s="8" t="s">
        <v>880</v>
      </c>
      <c r="B110" s="8" t="s">
        <v>879</v>
      </c>
      <c r="C110" s="8" t="s">
        <v>879</v>
      </c>
      <c r="D110" s="8" t="s">
        <v>827</v>
      </c>
    </row>
    <row r="111" ht="15.75" customHeight="1">
      <c r="A111" s="8" t="s">
        <v>881</v>
      </c>
      <c r="B111" s="8" t="s">
        <v>882</v>
      </c>
      <c r="C111" s="8" t="s">
        <v>882</v>
      </c>
      <c r="D111" s="8" t="s">
        <v>883</v>
      </c>
    </row>
    <row r="112" ht="15.75" customHeight="1">
      <c r="A112" s="8" t="s">
        <v>884</v>
      </c>
      <c r="B112" s="8" t="s">
        <v>885</v>
      </c>
      <c r="C112" s="8" t="s">
        <v>885</v>
      </c>
      <c r="D112" s="8" t="s">
        <v>883</v>
      </c>
    </row>
    <row r="113" ht="15.75" customHeight="1">
      <c r="A113" s="8" t="s">
        <v>886</v>
      </c>
      <c r="B113" s="8" t="s">
        <v>887</v>
      </c>
      <c r="C113" s="8" t="s">
        <v>887</v>
      </c>
      <c r="D113" s="8" t="s">
        <v>883</v>
      </c>
    </row>
    <row r="114" ht="15.75" customHeight="1">
      <c r="A114" s="8" t="s">
        <v>888</v>
      </c>
      <c r="B114" s="8" t="s">
        <v>889</v>
      </c>
      <c r="C114" s="8" t="s">
        <v>889</v>
      </c>
      <c r="D114" s="8" t="s">
        <v>883</v>
      </c>
    </row>
    <row r="115" ht="15.75" customHeight="1">
      <c r="A115" s="8" t="s">
        <v>890</v>
      </c>
      <c r="B115" s="8" t="s">
        <v>891</v>
      </c>
      <c r="C115" s="8" t="s">
        <v>892</v>
      </c>
      <c r="D115" s="8" t="s">
        <v>883</v>
      </c>
    </row>
    <row r="116" ht="15.75" customHeight="1">
      <c r="A116" s="8" t="s">
        <v>893</v>
      </c>
      <c r="B116" s="8" t="s">
        <v>894</v>
      </c>
      <c r="C116" s="8" t="s">
        <v>895</v>
      </c>
      <c r="D116" s="8" t="s">
        <v>883</v>
      </c>
    </row>
    <row r="117" ht="15.75" customHeight="1">
      <c r="A117" s="8" t="s">
        <v>896</v>
      </c>
      <c r="B117" s="8" t="s">
        <v>897</v>
      </c>
      <c r="C117" s="8" t="s">
        <v>898</v>
      </c>
      <c r="D117" s="8" t="s">
        <v>883</v>
      </c>
    </row>
    <row r="118" ht="15.75" customHeight="1">
      <c r="A118" s="8" t="s">
        <v>899</v>
      </c>
      <c r="B118" s="8" t="s">
        <v>900</v>
      </c>
      <c r="C118" s="8" t="s">
        <v>900</v>
      </c>
      <c r="D118" s="8" t="s">
        <v>901</v>
      </c>
    </row>
    <row r="119" ht="15.75" customHeight="1">
      <c r="A119" s="8" t="s">
        <v>902</v>
      </c>
      <c r="B119" s="8" t="s">
        <v>903</v>
      </c>
      <c r="C119" s="8" t="s">
        <v>904</v>
      </c>
      <c r="D119" s="8" t="s">
        <v>901</v>
      </c>
    </row>
    <row r="120" ht="15.75" customHeight="1">
      <c r="A120" s="8" t="s">
        <v>905</v>
      </c>
      <c r="B120" s="8" t="s">
        <v>906</v>
      </c>
      <c r="C120" s="8" t="s">
        <v>906</v>
      </c>
      <c r="D120" s="8" t="s">
        <v>901</v>
      </c>
    </row>
    <row r="121" ht="15.75" customHeight="1">
      <c r="A121" s="8" t="s">
        <v>907</v>
      </c>
      <c r="B121" s="8" t="s">
        <v>908</v>
      </c>
      <c r="C121" s="8" t="s">
        <v>908</v>
      </c>
      <c r="D121" s="8" t="s">
        <v>901</v>
      </c>
    </row>
    <row r="122" ht="15.75" customHeight="1">
      <c r="A122" s="8" t="s">
        <v>909</v>
      </c>
      <c r="B122" s="8" t="s">
        <v>910</v>
      </c>
      <c r="C122" s="8" t="s">
        <v>904</v>
      </c>
      <c r="D122" s="8" t="s">
        <v>901</v>
      </c>
    </row>
    <row r="123" ht="15.75" customHeight="1">
      <c r="A123" s="8" t="s">
        <v>911</v>
      </c>
      <c r="B123" s="8" t="s">
        <v>912</v>
      </c>
      <c r="C123" s="8" t="s">
        <v>913</v>
      </c>
      <c r="D123" s="8" t="s">
        <v>914</v>
      </c>
    </row>
    <row r="124" ht="15.75" customHeight="1">
      <c r="A124" s="8" t="s">
        <v>915</v>
      </c>
      <c r="B124" s="8" t="s">
        <v>916</v>
      </c>
      <c r="C124" s="8" t="s">
        <v>917</v>
      </c>
      <c r="D124" s="8" t="s">
        <v>914</v>
      </c>
    </row>
    <row r="125" ht="15.75" customHeight="1">
      <c r="A125" s="8" t="s">
        <v>918</v>
      </c>
      <c r="B125" s="8" t="s">
        <v>919</v>
      </c>
      <c r="C125" s="8" t="s">
        <v>919</v>
      </c>
      <c r="D125" s="8" t="s">
        <v>914</v>
      </c>
    </row>
    <row r="126" ht="15.75" customHeight="1">
      <c r="A126" s="8" t="s">
        <v>920</v>
      </c>
      <c r="B126" s="8" t="s">
        <v>921</v>
      </c>
      <c r="C126" s="8" t="s">
        <v>922</v>
      </c>
      <c r="D126" s="8" t="s">
        <v>914</v>
      </c>
    </row>
    <row r="127" ht="15.75" customHeight="1">
      <c r="A127" s="8" t="s">
        <v>923</v>
      </c>
      <c r="B127" s="8" t="s">
        <v>586</v>
      </c>
      <c r="C127" s="8" t="s">
        <v>924</v>
      </c>
      <c r="D127" s="8" t="s">
        <v>924</v>
      </c>
    </row>
    <row r="128" ht="15.75" customHeight="1">
      <c r="A128" s="8" t="s">
        <v>37</v>
      </c>
      <c r="B128" s="8" t="s">
        <v>37</v>
      </c>
      <c r="C128" s="8" t="s">
        <v>924</v>
      </c>
      <c r="D128" s="8" t="s">
        <v>924</v>
      </c>
    </row>
    <row r="129" ht="15.75" customHeight="1">
      <c r="A129" s="8" t="s">
        <v>925</v>
      </c>
      <c r="B129" s="8" t="s">
        <v>926</v>
      </c>
      <c r="C129" s="8" t="s">
        <v>924</v>
      </c>
      <c r="D129" s="8" t="s">
        <v>924</v>
      </c>
    </row>
    <row r="130" ht="15.75" customHeight="1">
      <c r="A130" s="8" t="s">
        <v>927</v>
      </c>
      <c r="B130" s="8" t="s">
        <v>344</v>
      </c>
      <c r="C130" s="8" t="s">
        <v>924</v>
      </c>
      <c r="D130" s="8" t="s">
        <v>924</v>
      </c>
    </row>
    <row r="131" ht="15.75" customHeight="1">
      <c r="A131" s="8" t="s">
        <v>928</v>
      </c>
      <c r="B131" s="8" t="s">
        <v>929</v>
      </c>
      <c r="C131" s="8" t="s">
        <v>924</v>
      </c>
      <c r="D131" s="8" t="s">
        <v>924</v>
      </c>
    </row>
    <row r="132" ht="15.75" customHeight="1">
      <c r="A132" s="8" t="s">
        <v>930</v>
      </c>
      <c r="B132" s="8" t="s">
        <v>340</v>
      </c>
      <c r="C132" s="12" t="s">
        <v>931</v>
      </c>
      <c r="D132" s="12" t="s">
        <v>901</v>
      </c>
    </row>
    <row r="133" ht="15.75" customHeight="1">
      <c r="A133" s="8" t="s">
        <v>932</v>
      </c>
      <c r="B133" s="8" t="s">
        <v>330</v>
      </c>
      <c r="C133" s="8" t="s">
        <v>933</v>
      </c>
      <c r="D133" s="8" t="s">
        <v>934</v>
      </c>
    </row>
    <row r="134" ht="15.75" customHeight="1">
      <c r="A134" s="8" t="s">
        <v>249</v>
      </c>
      <c r="B134" s="8" t="s">
        <v>249</v>
      </c>
      <c r="C134" s="8" t="s">
        <v>935</v>
      </c>
      <c r="D134" s="8" t="s">
        <v>934</v>
      </c>
    </row>
    <row r="135" ht="15.75" customHeight="1">
      <c r="A135" s="8" t="s">
        <v>254</v>
      </c>
      <c r="B135" s="8" t="s">
        <v>254</v>
      </c>
      <c r="C135" s="8" t="s">
        <v>935</v>
      </c>
      <c r="D135" s="8" t="s">
        <v>934</v>
      </c>
    </row>
    <row r="136" ht="15.75" customHeight="1">
      <c r="A136" s="8" t="s">
        <v>246</v>
      </c>
      <c r="B136" s="8" t="s">
        <v>246</v>
      </c>
      <c r="C136" s="8" t="s">
        <v>935</v>
      </c>
      <c r="D136" s="8" t="s">
        <v>934</v>
      </c>
    </row>
    <row r="137" ht="15.75" customHeight="1">
      <c r="A137" s="8" t="s">
        <v>141</v>
      </c>
      <c r="B137" s="8" t="s">
        <v>141</v>
      </c>
      <c r="C137" s="8" t="s">
        <v>935</v>
      </c>
      <c r="D137" s="8" t="s">
        <v>934</v>
      </c>
    </row>
    <row r="138" ht="15.75" customHeight="1">
      <c r="A138" s="8" t="s">
        <v>237</v>
      </c>
      <c r="B138" s="8" t="s">
        <v>237</v>
      </c>
      <c r="C138" s="8" t="s">
        <v>935</v>
      </c>
      <c r="D138" s="8" t="s">
        <v>934</v>
      </c>
    </row>
    <row r="139" ht="15.75" customHeight="1">
      <c r="A139" s="8" t="s">
        <v>515</v>
      </c>
      <c r="B139" s="8" t="s">
        <v>515</v>
      </c>
      <c r="C139" s="8" t="s">
        <v>935</v>
      </c>
      <c r="D139" s="8" t="s">
        <v>934</v>
      </c>
    </row>
    <row r="140" ht="15.75" customHeight="1">
      <c r="A140" s="8" t="s">
        <v>936</v>
      </c>
      <c r="B140" s="8" t="s">
        <v>936</v>
      </c>
      <c r="C140" s="8" t="s">
        <v>935</v>
      </c>
      <c r="D140" s="8" t="s">
        <v>934</v>
      </c>
    </row>
    <row r="141" ht="15.75" customHeight="1">
      <c r="A141" s="8" t="s">
        <v>937</v>
      </c>
      <c r="B141" s="8" t="s">
        <v>937</v>
      </c>
      <c r="C141" s="8" t="s">
        <v>935</v>
      </c>
      <c r="D141" s="8" t="s">
        <v>934</v>
      </c>
    </row>
    <row r="142" ht="15.75" customHeight="1">
      <c r="A142" s="8" t="s">
        <v>938</v>
      </c>
      <c r="B142" s="8" t="s">
        <v>939</v>
      </c>
      <c r="C142" s="8" t="s">
        <v>940</v>
      </c>
      <c r="D142" s="8" t="s">
        <v>934</v>
      </c>
    </row>
    <row r="143" ht="15.75" customHeight="1">
      <c r="A143" s="8" t="s">
        <v>941</v>
      </c>
      <c r="B143" s="8" t="s">
        <v>942</v>
      </c>
      <c r="C143" s="8" t="s">
        <v>940</v>
      </c>
      <c r="D143" s="8" t="s">
        <v>934</v>
      </c>
    </row>
    <row r="144" ht="15.75" customHeight="1">
      <c r="A144" s="8" t="s">
        <v>943</v>
      </c>
      <c r="B144" s="8" t="s">
        <v>944</v>
      </c>
      <c r="C144" s="8" t="s">
        <v>940</v>
      </c>
      <c r="D144" s="8" t="s">
        <v>934</v>
      </c>
    </row>
    <row r="145" ht="15.75" customHeight="1">
      <c r="A145" s="8" t="s">
        <v>945</v>
      </c>
      <c r="B145" s="8" t="s">
        <v>946</v>
      </c>
      <c r="C145" s="8" t="s">
        <v>940</v>
      </c>
      <c r="D145" s="8" t="s">
        <v>934</v>
      </c>
    </row>
    <row r="146" ht="15.75" customHeight="1">
      <c r="A146" s="8" t="s">
        <v>947</v>
      </c>
      <c r="B146" s="8" t="s">
        <v>948</v>
      </c>
      <c r="C146" s="8" t="s">
        <v>940</v>
      </c>
      <c r="D146" s="8" t="s">
        <v>934</v>
      </c>
    </row>
    <row r="147" ht="15.75" customHeight="1">
      <c r="A147" s="8" t="s">
        <v>949</v>
      </c>
      <c r="B147" s="8" t="s">
        <v>950</v>
      </c>
      <c r="C147" s="8" t="s">
        <v>951</v>
      </c>
      <c r="D147" s="8" t="s">
        <v>952</v>
      </c>
    </row>
    <row r="148" ht="15.75" customHeight="1">
      <c r="A148" s="8" t="s">
        <v>953</v>
      </c>
      <c r="B148" s="8" t="s">
        <v>954</v>
      </c>
      <c r="C148" s="8" t="s">
        <v>955</v>
      </c>
      <c r="D148" s="8" t="s">
        <v>952</v>
      </c>
    </row>
    <row r="149" ht="15.75" customHeight="1">
      <c r="A149" s="8" t="s">
        <v>956</v>
      </c>
      <c r="B149" s="8" t="s">
        <v>957</v>
      </c>
      <c r="C149" s="8" t="s">
        <v>958</v>
      </c>
      <c r="D149" s="12" t="s">
        <v>924</v>
      </c>
    </row>
    <row r="150" ht="15.75" customHeight="1">
      <c r="A150" s="8" t="s">
        <v>959</v>
      </c>
      <c r="B150" s="8" t="s">
        <v>960</v>
      </c>
      <c r="C150" s="8" t="s">
        <v>961</v>
      </c>
      <c r="D150" s="12" t="s">
        <v>914</v>
      </c>
    </row>
    <row r="151" ht="15.75" customHeight="1">
      <c r="A151" s="8" t="s">
        <v>962</v>
      </c>
      <c r="B151" s="8" t="s">
        <v>963</v>
      </c>
      <c r="C151" s="8" t="s">
        <v>964</v>
      </c>
      <c r="D151" s="8" t="s">
        <v>952</v>
      </c>
    </row>
    <row r="152" ht="15.75" customHeight="1">
      <c r="A152" s="8" t="s">
        <v>965</v>
      </c>
      <c r="B152" s="8" t="s">
        <v>315</v>
      </c>
      <c r="C152" s="8" t="s">
        <v>315</v>
      </c>
      <c r="D152" s="8" t="s">
        <v>952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7.57"/>
    <col customWidth="1" min="4" max="26" width="8.71"/>
  </cols>
  <sheetData>
    <row r="1">
      <c r="A1" s="1" t="s">
        <v>2</v>
      </c>
      <c r="B1" s="1" t="s">
        <v>966</v>
      </c>
      <c r="C1" s="17" t="s">
        <v>967</v>
      </c>
    </row>
    <row r="2">
      <c r="A2" s="8" t="s">
        <v>10</v>
      </c>
      <c r="B2" s="8">
        <v>1.0</v>
      </c>
      <c r="C2" s="18" t="s">
        <v>968</v>
      </c>
    </row>
    <row r="3">
      <c r="A3" s="8" t="s">
        <v>103</v>
      </c>
      <c r="B3" s="8">
        <v>3.64</v>
      </c>
      <c r="C3" s="8">
        <f>IFERROR(__xludf.DUMMYFUNCTION("GOOGLEFINANCE(""CURRENCY:USDQAR"")"),3.641)</f>
        <v>3.641</v>
      </c>
    </row>
    <row r="4">
      <c r="A4" s="8" t="s">
        <v>346</v>
      </c>
      <c r="B4" s="8">
        <v>3.96</v>
      </c>
      <c r="C4" s="8">
        <f>IFERROR(__xludf.DUMMYFUNCTION("GOOGLEFINANCE(""CURRENCY:EURQAR"")"),4.356599999999999)</f>
        <v>4.3566</v>
      </c>
    </row>
    <row r="5">
      <c r="A5" s="8" t="s">
        <v>969</v>
      </c>
      <c r="B5" s="8">
        <v>4.58</v>
      </c>
      <c r="C5" s="8">
        <f>IFERROR(__xludf.DUMMYFUNCTION("GOOGLEFINANCE(""CURRENCY:GBPQAR"")"),4.984598999999999)</f>
        <v>4.984599</v>
      </c>
    </row>
    <row r="6">
      <c r="A6" s="8" t="s">
        <v>970</v>
      </c>
      <c r="B6" s="8">
        <v>0.99</v>
      </c>
      <c r="C6" s="8">
        <f>IFERROR(__xludf.DUMMYFUNCTION("GOOGLEFINANCE(""CURRENCY:AEDQAR"")"),0.9958174)</f>
        <v>0.9958174</v>
      </c>
    </row>
    <row r="7">
      <c r="A7" s="8" t="s">
        <v>971</v>
      </c>
      <c r="B7" s="8">
        <v>0.97</v>
      </c>
      <c r="C7" s="8">
        <f>IFERROR(__xludf.DUMMYFUNCTION("GOOGLEFINANCE(""CURRENCY:SARQAR"")"),0.9707345287)</f>
        <v>0.9707345287</v>
      </c>
    </row>
    <row r="10">
      <c r="A10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7.57"/>
    <col customWidth="1" min="3" max="3" width="39.14"/>
    <col customWidth="1" min="5" max="5" width="24.14"/>
    <col customWidth="1" min="6" max="6" width="18.86"/>
  </cols>
  <sheetData>
    <row r="1">
      <c r="A1" s="17" t="s">
        <v>972</v>
      </c>
      <c r="B1" s="17" t="s">
        <v>973</v>
      </c>
      <c r="C1" s="17" t="s">
        <v>974</v>
      </c>
      <c r="D1" s="17" t="s">
        <v>975</v>
      </c>
      <c r="E1" s="17" t="s">
        <v>976</v>
      </c>
      <c r="F1" s="17" t="s">
        <v>977</v>
      </c>
    </row>
    <row r="2">
      <c r="A2" s="12" t="s">
        <v>978</v>
      </c>
      <c r="B2" s="12" t="s">
        <v>979</v>
      </c>
      <c r="C2" s="12" t="s">
        <v>980</v>
      </c>
      <c r="E2" s="12" t="s">
        <v>981</v>
      </c>
      <c r="F2" s="12" t="s">
        <v>982</v>
      </c>
    </row>
    <row r="3">
      <c r="A3" s="12" t="s">
        <v>978</v>
      </c>
      <c r="B3" s="12" t="s">
        <v>983</v>
      </c>
      <c r="C3" s="12" t="s">
        <v>984</v>
      </c>
      <c r="E3" s="12" t="s">
        <v>985</v>
      </c>
      <c r="F3" s="12" t="s">
        <v>982</v>
      </c>
    </row>
    <row r="4">
      <c r="A4" s="12" t="s">
        <v>978</v>
      </c>
      <c r="B4" s="12" t="s">
        <v>986</v>
      </c>
      <c r="C4" s="12" t="s">
        <v>987</v>
      </c>
      <c r="E4" s="12" t="s">
        <v>988</v>
      </c>
      <c r="F4" s="12" t="s">
        <v>982</v>
      </c>
    </row>
    <row r="5">
      <c r="A5" s="12" t="s">
        <v>978</v>
      </c>
      <c r="B5" s="12" t="s">
        <v>986</v>
      </c>
      <c r="C5" s="12" t="s">
        <v>989</v>
      </c>
      <c r="E5" s="12" t="s">
        <v>990</v>
      </c>
      <c r="F5" s="12" t="s">
        <v>982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35.0"/>
    <col customWidth="1" min="3" max="3" width="15.0"/>
    <col customWidth="1" min="4" max="4" width="30.0"/>
    <col customWidth="1" min="5" max="26" width="8.71"/>
  </cols>
  <sheetData>
    <row r="1">
      <c r="A1" s="1" t="s">
        <v>991</v>
      </c>
      <c r="B1" s="1" t="s">
        <v>992</v>
      </c>
      <c r="C1" s="1" t="s">
        <v>993</v>
      </c>
      <c r="D1" s="1" t="s">
        <v>994</v>
      </c>
    </row>
    <row r="2">
      <c r="A2" s="8" t="s">
        <v>141</v>
      </c>
    </row>
    <row r="3">
      <c r="A3" s="8" t="s">
        <v>237</v>
      </c>
    </row>
    <row r="4">
      <c r="B4" s="8" t="s">
        <v>229</v>
      </c>
    </row>
    <row r="5">
      <c r="C5" s="8" t="s">
        <v>995</v>
      </c>
      <c r="D5" s="8" t="s">
        <v>344</v>
      </c>
    </row>
    <row r="6">
      <c r="C6" s="12" t="s">
        <v>931</v>
      </c>
      <c r="D6" s="8" t="s">
        <v>340</v>
      </c>
    </row>
    <row r="7">
      <c r="C7" s="8" t="s">
        <v>933</v>
      </c>
      <c r="D7" s="8" t="s">
        <v>330</v>
      </c>
    </row>
    <row r="8">
      <c r="C8" s="8" t="s">
        <v>996</v>
      </c>
      <c r="D8" s="8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