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Ledger" sheetId="1" r:id="rId5"/>
    <sheet state="visible" name="Insights" sheetId="2" r:id="rId6"/>
    <sheet state="visible" name="MerchantMap" sheetId="3" r:id="rId7"/>
    <sheet state="visible" name="FXRates" sheetId="4" r:id="rId8"/>
    <sheet state="visible" name="UserContext" sheetId="5" r:id="rId9"/>
    <sheet state="visible" name="Recipients" sheetId="6" r:id="rId10"/>
  </sheets>
  <definedNames/>
  <calcPr/>
</workbook>
</file>

<file path=xl/sharedStrings.xml><?xml version="1.0" encoding="utf-8"?>
<sst xmlns="http://schemas.openxmlformats.org/spreadsheetml/2006/main" count="3184" uniqueCount="1114">
  <si>
    <t>Timestamp</t>
  </si>
  <si>
    <t>Amount</t>
  </si>
  <si>
    <t>Currency</t>
  </si>
  <si>
    <t>Counterparty</t>
  </si>
  <si>
    <t>Card</t>
  </si>
  <si>
    <t>Direction</t>
  </si>
  <si>
    <t>TxnType</t>
  </si>
  <si>
    <t>Category</t>
  </si>
  <si>
    <t>Subcategory</t>
  </si>
  <si>
    <t>Confidence</t>
  </si>
  <si>
    <t>Context</t>
  </si>
  <si>
    <t>RawText</t>
  </si>
  <si>
    <t>NET</t>
  </si>
  <si>
    <t>2026-01-26T20:10:00</t>
  </si>
  <si>
    <t>QAR</t>
  </si>
  <si>
    <t>ANDAZ DOHA MUMBLE JUNG</t>
  </si>
  <si>
    <t>VISA2</t>
  </si>
  <si>
    <t>OUT</t>
  </si>
  <si>
    <t>Purchase</t>
  </si>
  <si>
    <t>Your credit card has been used for a purchase. Details: Card number: VISA2 Amount: QAR 260 Location: ANDAZ DOHA MUMBLE JUNG Available balance: QAR 47.67.</t>
  </si>
  <si>
    <t>2026-01-26T14:34:00</t>
  </si>
  <si>
    <t>UBR* PENDING.UBER.COM</t>
  </si>
  <si>
    <t>Your credit card has been used for a purchase. Details: Card number: VISA2 Amount: QAR 9.93 approx. Location: UBR* PENDING.UBER.COM Available balance: QAR 97.67.</t>
  </si>
  <si>
    <t>ANDAZ DOHA MR MRS HAWK</t>
  </si>
  <si>
    <t>MDEBIT2</t>
  </si>
  <si>
    <t>Your debit card has been used for a purchase, details: Card number: MDEBIT2 Amount: QAR 85 Location: ANDAZ DOHA MR MRS HAWK Available balance: QAR 215.31</t>
  </si>
  <si>
    <t>2026-01-26T07:11:00</t>
  </si>
  <si>
    <t>Pain Au Cafe Sho</t>
  </si>
  <si>
    <t>Your debit card has been used for a purchase, details: Card number: MDEBIT2 Amount: QAR 49 Location: Pain Au Cafe Sho Available balance: QAR 299.52</t>
  </si>
  <si>
    <t>2026-01-25T20:38:00</t>
  </si>
  <si>
    <t>CENTRA SUPERMARKETS AN</t>
  </si>
  <si>
    <t>Your debit card has been used for a purchase, details: Card number: MDEBIT2 Amount: QAR 48 Location: CENTRA SUPERMARKETS AN Available balance: QAR 348.52</t>
  </si>
  <si>
    <t>2026-01-25T17:09:00</t>
  </si>
  <si>
    <t>Talabat</t>
  </si>
  <si>
    <t>Your debit card has been used for a purchase, details: Card number: MDEBIT2 Amount: QAR 44.8 Location: Talabat Available balance: QAR 396.52</t>
  </si>
  <si>
    <t>2026-01-25T15:28:00</t>
  </si>
  <si>
    <t>WOQOD - ONAIZA - 2 PS</t>
  </si>
  <si>
    <t>Your debit card has been used for a purchase, details: Card number: MDEBIT2 Amount: QAR 50 Location: WOQOD - ONAIZA - 2 PS Available balance: QAR 441.32</t>
  </si>
  <si>
    <t>2026-01-25T13:46:00</t>
  </si>
  <si>
    <t>Your debit card has been used for a purchase, details: Card number: MDEBIT2 Amount: QAR 25 Location: Talabat Available balance: QAR 491.32</t>
  </si>
  <si>
    <t>2026-01-25T13:34:00</t>
  </si>
  <si>
    <t>AFIF BOU NASSIF OR NICOLE DAOU</t>
  </si>
  <si>
    <t>TRANSFER</t>
  </si>
  <si>
    <t>IN</t>
  </si>
  <si>
    <t>Received</t>
  </si>
  <si>
    <t>There was a fund transfer to your account, Details: Account number: CURRENT1 Amount: QAR 500 From: AFIF BOU NASSIF OR NICOLE DAOU Value Date: 25-01-2026 The Available Balance is: 586.32</t>
  </si>
  <si>
    <t>2026-01-24T22:06:00</t>
  </si>
  <si>
    <t>PAYPAL *GITHUB INC</t>
  </si>
  <si>
    <t>Your debit card has been used for a purchase, details: Card number: MDEBIT2 Amount: QAR 53.18 Location: PAYPAL *GITHUB INC Available balance: QAR 86.32</t>
  </si>
  <si>
    <t>2026-01-24T03:28:00</t>
  </si>
  <si>
    <t>WOQOD - LEBSAYYER SIDR</t>
  </si>
  <si>
    <t>Your debit card has been used for a purchase, details: Card number: MDEBIT2 Amount: QAR 61 Location: WOQOD - LEBSAYYER SIDR Available balance: QAR 141.09</t>
  </si>
  <si>
    <t>2026-01-23T18:47:00</t>
  </si>
  <si>
    <t>ZEKREET SUPERMARKET</t>
  </si>
  <si>
    <t>Your debit card has been used for a purchase, details: Card number: MDEBIT2 Amount: QAR 49 Location: ZEKREET SUPERMARKET Available balance: QAR 202.09</t>
  </si>
  <si>
    <t>2026-01-23T16:55:00</t>
  </si>
  <si>
    <t>Your credit card has been used for a purchase. Details: Card number: VISA2 Amount: QAR 25.96 approx. Location: UBR* PENDING.UBER.COM Available balance: QAR 37.6.</t>
  </si>
  <si>
    <t>ZAHRA GRAND FRESH SUPE</t>
  </si>
  <si>
    <t>Your debit card has been used for a purchase, details: Card number: MDEBIT2 Amount: QAR 33 Location: ZAHRA GRAND FRESH SUPE Available balance: QAR 444.09</t>
  </si>
  <si>
    <t>FALCON TRADING CENTER</t>
  </si>
  <si>
    <t>Your debit card has been used for a purchase, details: Card number: MDEBIT2 Amount: QAR 193 Location: FALCON TRADING CENTER Available balance: QAR 251.09</t>
  </si>
  <si>
    <t>2026-01-23T14:09:00</t>
  </si>
  <si>
    <t>UBER * PENDING</t>
  </si>
  <si>
    <t>Your credit card has been used for a purchase. Details: Card number: VISA2 Amount: QAR 8.94 approx. Location: UBER * PENDING Available balance: QAR 63.56.</t>
  </si>
  <si>
    <t>2026-01-23T09:33:00</t>
  </si>
  <si>
    <t>Keeta QFC LLC</t>
  </si>
  <si>
    <t>Your debit card has been used for a purchase, details: Card number: MDEBIT2 Amount: QAR 26.4 Location: Keeta QFC LLC Available balance: QAR 477.09</t>
  </si>
  <si>
    <t>2026-01-22T21:35:00</t>
  </si>
  <si>
    <t>Talabat QFC LLC</t>
  </si>
  <si>
    <t>Your credit card has been used for a purchase. Details: Card number: VISA2 Amount: QAR 117 Location: Talabat QFC LLC Available balance: QAR 72.5.</t>
  </si>
  <si>
    <t>2026-01-22T18:21:00</t>
  </si>
  <si>
    <t>Your credit card has been used for a purchase. Details: Card number: VISA2 Amount: QAR 9.93 approx. Location: UBER * PENDING Available balance: QAR 189.5.</t>
  </si>
  <si>
    <t>2026-01-22T09:31:00</t>
  </si>
  <si>
    <t>There was a fund transfer to your account, Details: Account number: CURRENT1 Amount: QAR 500 From: AFIF BOU NASSIF OR NICOLE DAOU Value Date: 22-01-2026 The Available Balance is: 503.17</t>
  </si>
  <si>
    <t>2026-01-21T21:08:00</t>
  </si>
  <si>
    <t>Your credit card has been used for a purchase. Details: Card number: VISA2 Amount: QAR 8.95 approx. Location: UBER * PENDING Available balance: QAR 199.43.</t>
  </si>
  <si>
    <t>2026-01-21T18:33:00</t>
  </si>
  <si>
    <t>Your credit card has been used for a purchase. Details: Card number: VISA2 Amount: QAR 25.2 Location: Keeta QFC LLC Available balance: QAR 208.38.</t>
  </si>
  <si>
    <t>2026-01-21T15:49:00</t>
  </si>
  <si>
    <t>Your credit card has been used for a purchase. Details: Card number: VISA2 Amount: QAR 22.94 approx. Location: UBR* PENDING.UBER.COM Available balance: QAR 233.58.</t>
  </si>
  <si>
    <t>2026-01-21T14:18:00</t>
  </si>
  <si>
    <t>Ooredoo CC Top Up</t>
  </si>
  <si>
    <t>Your credit card has been used for a purchase. Details: Card number: VISA2 Amount: QAR 40 Location: Ooredoo CC Top Up Available balance: QAR 256.52.</t>
  </si>
  <si>
    <t>2026-01-21T11:18:00</t>
  </si>
  <si>
    <t>Your credit card has been used for a purchase. Details: Card number: VISA2 Amount: QAR 139 Location: Talabat QFC LLC Available balance: QAR 296.52.</t>
  </si>
  <si>
    <t>2026-01-21T07:36:00</t>
  </si>
  <si>
    <t>Pain Au Cafe Shop</t>
  </si>
  <si>
    <t>Your credit card has been used for a purchase. Details: Card number: VISA2 Amount: QAR 27 Location: Pain Au Cafe Shop Available balance: QAR 435.52.</t>
  </si>
  <si>
    <t>2026-01-20T23:16:00</t>
  </si>
  <si>
    <t>SEDRA ARJAAN BY ROTANA</t>
  </si>
  <si>
    <t>Your debit card has been used for a purchase, details: Card number: MDEBIT2 Amount: QAR 340 Location: SEDRA ARJAAN BY ROTANA Available balance: QAR 240.23</t>
  </si>
  <si>
    <t>2026-01-20T07:28:00</t>
  </si>
  <si>
    <t>Your credit card has been used for a purchase. Details: Card number: VISA2 Amount: QAR 47 Location: Pain Au Cafe Shop Available balance: QAR 222.52.</t>
  </si>
  <si>
    <t>2026-01-19T22:26:00</t>
  </si>
  <si>
    <t>Keeta</t>
  </si>
  <si>
    <t>Your debit card has been used for a purchase, details: Card number: MDEBIT2 Amount: QAR 30 Location: Keeta Available balance: QAR 572.12</t>
  </si>
  <si>
    <t>2026-01-19T16:21:00</t>
  </si>
  <si>
    <t>Your credit card has been used for a purchase. Details: Card number: VISA2 Amount: QAR 18.96 approx. Location: UBR* PENDING.UBER.COM Available balance: QAR 269.52.</t>
  </si>
  <si>
    <t>2026-01-19T14:15:00</t>
  </si>
  <si>
    <t>Your debit card has been used for a purchase, details: Card number: MDEBIT2 Amount: QAR 45 Location: Keeta Available balance: QAR 603.02</t>
  </si>
  <si>
    <t>2026-01-19T08:09:00</t>
  </si>
  <si>
    <t>Your debit card has been used for a purchase, details: Card number: MDEBIT2 Amount: QAR 79 Location: Pain Au Cafe Sho Available balance: QAR 646.7</t>
  </si>
  <si>
    <t>2026-01-19T07:02:00</t>
  </si>
  <si>
    <t>Your debit card has been used for a purchase, details: Card number: MDEBIT2 Amount: QAR 37 Location: Talabat QFC LLC Available balance: QAR 725.7</t>
  </si>
  <si>
    <t>2026-01-18T17:31:00</t>
  </si>
  <si>
    <t>Your credit card has been used for a purchase. Details: Card number: VISA2 Amount: QAR 20.93 approx. Location: UBER * PENDING Available balance: QAR 288.65.</t>
  </si>
  <si>
    <t>2026-01-17T21:43:00</t>
  </si>
  <si>
    <t>USD</t>
  </si>
  <si>
    <t>ANTHROPIC</t>
  </si>
  <si>
    <t>Your debit card has been used for a purchase, details: Card number: MDEBIT2 Amount: USD 10 Location: ANTHROPIC Available balance: QAR 1104.91</t>
  </si>
  <si>
    <t>CLAUDE.AI SUBSCRIPTION</t>
  </si>
  <si>
    <t>Your debit card has been used for a purchase, details: Card number: MDEBIT2 Amount: USD 91.73 Location: CLAUDE.AI SUBSCRIPTION Available balance: QAR 761</t>
  </si>
  <si>
    <t>2026-01-17T19:28:00</t>
  </si>
  <si>
    <t>Your credit card has been used for a purchase. Details: Card number: VISA2 Amount: QAR 8.95 approx. Location: UBER * PENDING Available balance: QAR 309.58.</t>
  </si>
  <si>
    <t>2026-01-17T17:55:00</t>
  </si>
  <si>
    <t>PAYPAL *BATTLE.NET EU3</t>
  </si>
  <si>
    <t>Your debit card has been used for a purchase, details: Card number: MDEBIT2 Amount: QAR 47.49 Location: PAYPAL *BATTLE.NET EU3 Available balance: QAR 1142.4</t>
  </si>
  <si>
    <t>2026-01-17T10:57:00</t>
  </si>
  <si>
    <t>GAMMA.APP</t>
  </si>
  <si>
    <t>Your credit card has been used for a purchase. Details: Card number: VISA2 Amount: USD 25 approx. Location: GAMMA.APP Available balance: QAR 318.53.</t>
  </si>
  <si>
    <t>2026-01-17T09:35:00</t>
  </si>
  <si>
    <t>Your credit card has been used for a purchase. Details: Card number: VISA2 Amount: QAR 15.96 approx. Location: UBR* PENDING.UBER.COM Available balance: QAR 411.35.</t>
  </si>
  <si>
    <t>2026-01-16T20:20:00</t>
  </si>
  <si>
    <t>Your credit card has been used for a purchase. Details: Card number: VISA2 Amount: QAR 15.94 approx. Location: UBR* PENDING.UBER.COM Available balance: QAR 427.31.</t>
  </si>
  <si>
    <t>2026-01-16T09:24:00</t>
  </si>
  <si>
    <t>Your debit card has been used for a purchase, details: Card number: MDEBIT2 Amount: QAR 158.25 Location: Talabat QFC LLC Available balance: QAR 1191.31</t>
  </si>
  <si>
    <t>2026-01-16T01:04:00</t>
  </si>
  <si>
    <t>Your debit card has been used for a purchase, details: Card number: MDEBIT2 Amount: QAR 86 Location: Talabat QFC LLC Available balance: QAR 1354.3</t>
  </si>
  <si>
    <t>2026-01-15T07:42:00</t>
  </si>
  <si>
    <t>Your debit card has been used for a purchase, details: Card number: MDEBIT2 Amount: QAR 26.4 Location: Keeta Available balance: QAR 1433.96</t>
  </si>
  <si>
    <t>2026-01-14T17:07:00</t>
  </si>
  <si>
    <t>Your debit card has been used for a purchase, details: Card number: MDEBIT2 Amount: QAR 25.39 Location: Keeta Available balance: QAR 1461.15</t>
  </si>
  <si>
    <t>2026-01-14T15:35:00</t>
  </si>
  <si>
    <t>UNIVERSITY PETROL STAT</t>
  </si>
  <si>
    <t>Your credit card has been used for a purchase. Details: Card number: VISA2 Amount: QAR 40 Location: UNIVERSITY PETROL STAT Available balance: QAR 443.25.</t>
  </si>
  <si>
    <t>2026-01-14T07:27:00</t>
  </si>
  <si>
    <t>Your debit card has been used for a purchase, details: Card number: MDEBIT2 Amount: QAR 26.4 Location: Keeta Available balance: QAR 1487.3</t>
  </si>
  <si>
    <t>2026-01-13T22:16:00</t>
  </si>
  <si>
    <t>Your debit card has been used for a purchase, details: Card number: MDEBIT2 Amount: QAR 42.2 Location: Talabat QFC LLC Available balance: QAR 1514.49</t>
  </si>
  <si>
    <t>2026-01-13T18:26:00</t>
  </si>
  <si>
    <t>MARBLE PLUS MEDICAL CE</t>
  </si>
  <si>
    <t>Your credit card has been used for a purchase. Details: Card number: VISA2 Amount: QAR 5.5 Location: MARBLE PLUS MEDICAL CE Available balance: QAR 483.25.</t>
  </si>
  <si>
    <t>2026-01-13T17:07:00</t>
  </si>
  <si>
    <t>Your debit card has been used for a purchase, details: Card number: MDEBIT2 Amount: QAR 50 Location: MARBLE PLUS MEDICAL CE Available balance: QAR 1557.95</t>
  </si>
  <si>
    <t>2026-01-13T11:18:00</t>
  </si>
  <si>
    <t>33949929</t>
  </si>
  <si>
    <t>Fawran &amp; Transfers</t>
  </si>
  <si>
    <t>Your funds transfer request using Fawran has been processed successfully, details: To Alias: 33949929 Amount: QAR 45 The Available Balance is: QAR 1608.45</t>
  </si>
  <si>
    <t>2026-01-12T19:38:00</t>
  </si>
  <si>
    <t>Your debit card has been used for a purchase, details: Card number: MDEBIT2 Amount: QAR 26 Location: Keeta Available balance: QAR 1653.45</t>
  </si>
  <si>
    <t>2026-01-12T08:17:00</t>
  </si>
  <si>
    <t>Your debit card has been used for a purchase, details: Card number: MDEBIT2 Amount: QAR 47 Location: Pain Au Cafe Sho Available balance: QAR 1680.23</t>
  </si>
  <si>
    <t>2026-01-12T04:24:00</t>
  </si>
  <si>
    <t>Your debit card has been used for a purchase, details: Card number: MDEBIT2 Amount: QAR 100 Location: Talabat QFC LLC Available balance: QAR 1727.23</t>
  </si>
  <si>
    <t>2026-01-11T20:45:00</t>
  </si>
  <si>
    <t>Your debit card has been used for a purchase, details: Card number: MDEBIT2 Amount: QAR 47.5 Location: Talabat QFC LLC Available balance: QAR 1830.23</t>
  </si>
  <si>
    <t>2026-01-11T15:50:00</t>
  </si>
  <si>
    <t>Your debit card has been used for a purchase, details: Card number: MDEBIT2 Amount: QAR 17.5 Location: CENTRA SUPERMARKETS AN Available balance: QAR 1879.15</t>
  </si>
  <si>
    <t>2026-01-10T19:21:00</t>
  </si>
  <si>
    <t>Your debit card has been used for a purchase, details: Card number: MDEBIT2 Amount: QAR 25 Location: Talabat QFC LLC Available balance: QAR 1894.51</t>
  </si>
  <si>
    <t>2026-01-10T13:30:00</t>
  </si>
  <si>
    <t>Your debit card has been used for a purchase, details: Card number: MDEBIT2 Amount: QAR 66 Location: Keeta Available balance: QAR 1920.26</t>
  </si>
  <si>
    <t>2026-01-10T09:50:00</t>
  </si>
  <si>
    <t>MEDIUM MONTHLY</t>
  </si>
  <si>
    <t>Your credit card has been used for a purchase. Details: Card number: VISA2 Amount: USD 5 approx. Location: MEDIUM MONTHLY Available balance: QAR 455.55.</t>
  </si>
  <si>
    <t>RENDER.COM</t>
  </si>
  <si>
    <t>Your credit card has been used for a purchase. Details: Card number: VISA2 Amount: USD 1 approx. Location: RENDER.COM Available balance: QAR 425.85.</t>
  </si>
  <si>
    <t>Your credit card has been used for a purchase. Details: Card number: VISA2 Amount: USD 7 approx. Location: RENDER.COM Available balance: QAR 425.85.</t>
  </si>
  <si>
    <t>2026-01-09T23:44:00</t>
  </si>
  <si>
    <t>Your debit card has been used for a purchase, details: Card number: MDEBIT2 Amount: QAR 33 Location: Keeta Available balance: QAR 1988.24</t>
  </si>
  <si>
    <t>2026-01-09T17:55:00</t>
  </si>
  <si>
    <t>Your credit card has been used for a purchase. Details: Card number: VISA2 Amount: USD 5 approx. Location: ANTHROPIC Available balance: QAR 566.93.</t>
  </si>
  <si>
    <t>Your credit card has been used for a purchase. Details: Card number: VISA2 Amount: USD 10 approx. Location: ANTHROPIC Available balance: QAR 529.8.</t>
  </si>
  <si>
    <t>OPENAI</t>
  </si>
  <si>
    <t>Your credit card has been used for a purchase. Details: Card number: VISA2 Amount: USD 15 approx. Location: OPENAI Available balance: QAR 474.11.</t>
  </si>
  <si>
    <t>2026-01-07T21:58:00</t>
  </si>
  <si>
    <t>Your credit card has been used for a purchase. Details: Card number: VISA2 Amount: QAR 20.2 Location: Keeta Available balance: QAR 585.49.</t>
  </si>
  <si>
    <t>2026-01-07T14:15:00</t>
  </si>
  <si>
    <t>Your credit card has been used for a purchase. Details: Card number: VISA2 Amount: QAR 24.89 Location: Keeta Available balance: QAR 605.69.</t>
  </si>
  <si>
    <t>2026-01-07T11:48:00</t>
  </si>
  <si>
    <t>PAYPAL *GAMER2GAMER</t>
  </si>
  <si>
    <t>Your debit card has been used for a purchase, details: Card number: MDEBIT2 Amount: QAR 54.9 Location: PAYPAL *GAMER2GAMER Available balance: QAR 2020.73</t>
  </si>
  <si>
    <t>2026-01-06T19:36:00</t>
  </si>
  <si>
    <t>Your debit card has been used for a purchase, details: Card number: MDEBIT2 Amount: QAR 50 Location: MARBLE PLUS MEDICAL CE Available balance: QAR 2182.13</t>
  </si>
  <si>
    <t>Your debit card has been used for a purchase, details: Card number: MDEBIT2 Amount: QAR 107.2 Location: MARBLE PLUS MEDICAL CE Available balance: QAR 2074.93</t>
  </si>
  <si>
    <t>Your credit card has been used for a purchase. Details: Card number: VISA2 Amount: QAR 78 Location: Keeta Available balance: QAR 630.58.</t>
  </si>
  <si>
    <t>2026-01-06T11:23:00</t>
  </si>
  <si>
    <t>Your debit card has been used for a purchase, details: Card number: MDEBIT2 Amount: QAR 44 Location: Talabat QFC LLC Available balance: QAR 2232.13</t>
  </si>
  <si>
    <t>2026-01-05T15:33:00</t>
  </si>
  <si>
    <t>Your debit card has been used for a purchase, details: Card number: MDEBIT2 Amount: QAR 50 Location: Talabat QFC LLC Available balance: QAR 2277.45</t>
  </si>
  <si>
    <t>2026-01-04T22:12:00</t>
  </si>
  <si>
    <t>Your debit card has been used for a purchase, details: Card number: MDEBIT2 Amount: QAR 25 Location: Talabat QFC LLC Available balance: QAR 2328.95</t>
  </si>
  <si>
    <t>2026-01-04T16:46:00</t>
  </si>
  <si>
    <t>Your credit card has been used for a purchase. Details: Card number: VISA2 Amount: QAR 42 Location: Keeta Available balance: QAR 708.58.</t>
  </si>
  <si>
    <t>2026-01-03T23:18:00</t>
  </si>
  <si>
    <t>Your debit card has been used for a purchase, details: Card number: MDEBIT2 Amount: QAR 53.2 Location: Keeta Available balance: QAR 2347.58</t>
  </si>
  <si>
    <t>2026-01-03T14:16:00</t>
  </si>
  <si>
    <t>talabat pro</t>
  </si>
  <si>
    <t>Your credit card has been used for a purchase. Details: Card number: VISA2 Amount: QAR 35 Location: talabat pro Available balance: QAR 816.17.</t>
  </si>
  <si>
    <t>Your credit card has been used for a purchase. Details: Card number: VISA2 Amount: QAR 65 Location: Talabat QFC LLC Available balance: QAR 751.17.</t>
  </si>
  <si>
    <t>2026-01-03T05:45:00</t>
  </si>
  <si>
    <t>Your credit card has been used for a purchase. Details: Card number: VISA2 Amount: QAR 25.2 Location: Keeta Available balance: QAR 851.17.</t>
  </si>
  <si>
    <t>2026-01-02T23:14:00</t>
  </si>
  <si>
    <t>EMERALD ISLE TRDG N SV</t>
  </si>
  <si>
    <t>Your credit card has been used for a purchase. Details: Card number: VISA2 Amount: QAR 100.8 Location: EMERALD ISLE TRDG N SV Available balance: QAR 876.37.</t>
  </si>
  <si>
    <t>2026-01-02T21:18:00</t>
  </si>
  <si>
    <t>Your credit card has been used for a purchase. Details: Card number: VISA2 Amount: QAR 550 Location: EMERALD ISLE TRDG N SV Available balance: QAR 977.17.</t>
  </si>
  <si>
    <t>Your debit card has been used for a purchase, details: Card number: MDEBIT2 Amount: QAR 112 Location: EMERALD ISLE TRDG N SV Available balance: QAR 2402.37</t>
  </si>
  <si>
    <t>2026-01-02T20:17:00</t>
  </si>
  <si>
    <t>MEDICOM PHARMACY W.L.L</t>
  </si>
  <si>
    <t>Your credit card has been used for a purchase. Details: Card number: VISA2 Amount: QAR 22 Location: MEDICOM PHARMACY W.L.L Available balance: QAR 1527.17.</t>
  </si>
  <si>
    <t>2026-01-02T16:20:00</t>
  </si>
  <si>
    <t>DUSIT HOTEL AND SUITES</t>
  </si>
  <si>
    <t>Your credit card has been used for a purchase. Details: Card number: VISA2 Amount: QAR 505 Location: DUSIT HOTEL AND SUITES Available balance: QAR 2434.17.</t>
  </si>
  <si>
    <t>Your credit card has been used for a purchase. Details: Card number: VISA2 Amount: QAR 885 Location: DUSIT HOTEL AND SUITES Available balance: QAR 1549.17.</t>
  </si>
  <si>
    <t>2026-01-02T02:45:00</t>
  </si>
  <si>
    <t>Your credit card has been used for a purchase. Details: Card number: VISA2 Amount: QAR 68 Location: Talabat QFC LLC Available balance: QAR 2939.17.</t>
  </si>
  <si>
    <t>2026-01-02T01:44:00</t>
  </si>
  <si>
    <t>CHAMPIONS SPORTS BAR</t>
  </si>
  <si>
    <t>Your credit card has been used for a purchase. Details: Card number: VISA2 Amount: QAR 290 Location: CHAMPIONS SPORTS BAR Available balance: QAR 3007.17.</t>
  </si>
  <si>
    <t>2026-01-01T21:48:00</t>
  </si>
  <si>
    <t>Bawwabat Al Shamal 2</t>
  </si>
  <si>
    <t>Your debit card has been used for a purchase, details: Card number: MDEBIT2 Amount: QAR 2410 Location: Bawwabat Al Shamal 2 Available balance: QAR 2514.37</t>
  </si>
  <si>
    <t>RAISING CANES</t>
  </si>
  <si>
    <t>Your credit card has been used for a purchase. Details: Card number: VISA2 Amount: QAR 59 Location: RAISING CANES Available balance: QAR 3297.17.</t>
  </si>
  <si>
    <t>2026-01-01T17:22:00</t>
  </si>
  <si>
    <t>Your credit card has been used for a purchase. Details: Card number: VISA2 Amount: QAR 114 Location: Talabat QFC LLC Available balance: QAR 3480.92.</t>
  </si>
  <si>
    <t>Google Workspace fact.</t>
  </si>
  <si>
    <t>Your credit card has been used for a purchase. Details: Card number: VISA2 Amount: USD 33.6 approx. Location: Google Workspace fact. Available balance: QAR 3356.17.</t>
  </si>
  <si>
    <t>2026-01-01T13:51:00</t>
  </si>
  <si>
    <t>QA28XXXXXXXXXXXXXXXXXXX016001</t>
  </si>
  <si>
    <t>There was a fund transfer to your account, Details: Account number: CURRENT1 Amount: QAR 200 From Alias: QA28XXXXXXXXXXXXXXXXXXX016001 Value Date: 01-01-2026 The Available Balance is: QAR 4924.37</t>
  </si>
  <si>
    <t>2026-01-01T12:19:00</t>
  </si>
  <si>
    <t>QA06XXXXXXXXXXXXXXXXXXX650013</t>
  </si>
  <si>
    <t>There was a fund transfer to your account, Details: Account number: CURRENT1 Amount: QAR 200 From Alias: QA06XXXXXXXXXXXXXXXXXXX650013 Value Date: 01-01-2026 The Available Balance is: QAR 4324.37</t>
  </si>
  <si>
    <t>QA07XXXXXXXXXXXXXXXXXXX899043</t>
  </si>
  <si>
    <t>There was a fund transfer to your account, Details: Account number: CURRENT1 Amount: QAR 200 From Alias: QA07XXXXXXXXXXXXXXXXXXX899043 Value Date: 01-01-2026 The Available Balance is: QAR 4524.37</t>
  </si>
  <si>
    <t>There was a fund transfer to your account, Details: Account number: CURRENT1 Amount: QAR 200 From Alias: QA07XXXXXXXXXXXXXXXXXXX899043 Value Date: 01-01-2026 The Available Balance is: QAR 4724.37</t>
  </si>
  <si>
    <t>2026-01-01T02:14:00</t>
  </si>
  <si>
    <t>Your credit card has been used for a purchase. Details: Card number: VISA2 Amount: QAR 26.6 Location: Keeta Available balance: QAR 3594.92.</t>
  </si>
  <si>
    <t>2025-12-31T17:24:00</t>
  </si>
  <si>
    <t>66217839</t>
  </si>
  <si>
    <t>Your funds transfer request using Fawran has been processed successfully, details: To Alias: 66217839 Amount: QAR 345 The Available Balance is: QAR 4124.37</t>
  </si>
  <si>
    <t>Your credit card has been used for a purchase. Details: Card number: VISA2 Amount: QAR 130 Location: Keeta Available balance: QAR 3621.52.</t>
  </si>
  <si>
    <t>OPENAI *CHATGPT SUBSCR</t>
  </si>
  <si>
    <t>Your credit card has been used for a purchase. Details: Card number: VISA2 Amount: USD 60 approx. Location: OPENAI *CHATGPT SUBSCR Available balance: QAR 3621.52.</t>
  </si>
  <si>
    <t>2025-12-31T16:57:00</t>
  </si>
  <si>
    <t>DSTLRY.CO</t>
  </si>
  <si>
    <t>Your credit card has been used for a purchase. Details: Card number: VISA2 Amount: USD 1 approx. Location: DSTLRY.CO Available balance: QAR 3974.29.</t>
  </si>
  <si>
    <t>2025-12-31T16:52:00</t>
  </si>
  <si>
    <t>33703060</t>
  </si>
  <si>
    <t>There was a fund transfer to your account, Details: Account number: CURRENT1 Amount: QAR 200 From Alias: 33703060 Value Date: 31-12-2025 The Available Balance is: QAR 8370.3</t>
  </si>
  <si>
    <t>2025-12-31T10:40:00</t>
  </si>
  <si>
    <t>33131126</t>
  </si>
  <si>
    <t>There was a fund transfer to your account, Details: Account number: CURRENT1 Amount: QAR 20 From Alias: 33131126 Value Date: 31-12-2025 The Available Balance is: QAR 7330.3</t>
  </si>
  <si>
    <t>QA89XXXXXXXXXXXXXXXXXXX137101</t>
  </si>
  <si>
    <t>There was a fund transfer to your account, Details: Account number: CURRENT1 Amount: QAR 230 From Alias: QA89XXXXXXXXXXXXXXXXXXX137101 Value Date: 31-12-2025 The Available Balance is: QAR 7560.3</t>
  </si>
  <si>
    <t>There was a fund transfer to your account, Details: Account number: CURRENT1 Amount: QAR 180 From Alias: 33131126 Value Date: 31-12-2025 The Available Balance is: QAR 7740.3</t>
  </si>
  <si>
    <t>33413435</t>
  </si>
  <si>
    <t>There was a fund transfer to your account, Details: Account number: CURRENT1 Amount: QAR 200 From Alias: 33413435 Value Date: 31-12-2025 The Available Balance is: QAR 7940.3</t>
  </si>
  <si>
    <t>QA55XXXXXXXXXXXXXXXXXXX023001</t>
  </si>
  <si>
    <t>There was a fund transfer to your account, Details: Account number: CURRENT1 Amount: QAR 230 From Alias: QA55XXXXXXXXXXXXXXXXXXX023001 Value Date: 31-12-2025 The Available Balance is: QAR 8170.3</t>
  </si>
  <si>
    <t>2025-12-31T09:30:00</t>
  </si>
  <si>
    <t>Your credit card has been used for a purchase. Details: Card number: VISA2 Amount: QAR 22 Location: Pain Au Cafe Shop Available balance: QAR 77.07.</t>
  </si>
  <si>
    <t>2025-12-30T18:44:00</t>
  </si>
  <si>
    <t>Your debit card has been used for a purchase, details: Card number: MDEBIT2 Amount: USD 20 Location: CLAUDE.AI SUBSCRIPTION Available balance: QAR 7310.3</t>
  </si>
  <si>
    <t>2025-12-30T17:11:00</t>
  </si>
  <si>
    <t>There was a fund transfer to your account, Details: Account number: CURRENT1 Amount: QAR 40 From Alias: QA06XXXXXXXXXXXXXXXXXXX650013 Value Date: 30-12-2025 The Available Balance is: QAR 7350.28</t>
  </si>
  <si>
    <t>There was a fund transfer to your account, Details: Account number: CURRENT1 Amount: QAR 35 From Alias: 33131126 Value Date: 30-12-2025 The Available Balance is: QAR 7385.28</t>
  </si>
  <si>
    <t>2025-12-30T16:01:00</t>
  </si>
  <si>
    <t>Your debit card has been used for a purchase, details: Card number: MDEBIT2 Amount: QAR 220.1 Location: Keeta Available balance: QAR 7227.28</t>
  </si>
  <si>
    <t>There was a fund transfer to your account, Details: Account number: CURRENT1 Amount: QAR 83 From Alias: 33703060 Value Date: 30-12-2025 The Available Balance is: QAR 7310.28</t>
  </si>
  <si>
    <t>2025-12-30T12:01:00</t>
  </si>
  <si>
    <t>Your credit card has been used for a purchase. Details: Card number: VISA2 Amount: QAR 21 Location: Pain Au Cafe Shop Available balance: QAR 99.19.</t>
  </si>
  <si>
    <t>2025-12-29T20:41:00</t>
  </si>
  <si>
    <t>Your credit card has been used for a purchase. Details: Card number: VISA2 Amount: QAR 17.96 approx. Location: UBER * PENDING Available balance: QAR 120.19.</t>
  </si>
  <si>
    <t>MAGNUM HOTEL CONSULTAN</t>
  </si>
  <si>
    <t>Your debit card has been used for a purchase, details: Card number: MDEBIT2 Amount: QAR 1537 Location: MAGNUM HOTEL CONSULTAN Available balance: QAR 6732.04</t>
  </si>
  <si>
    <t>There was a fund transfer to your account, Details: Account number: CURRENT1 Amount: QAR 700 From Alias: QA07XXXXXXXXXXXXXXXXXXX899043 Value Date: 29-12-2025 The Available Balance is: QAR 7432.04</t>
  </si>
  <si>
    <t>2025-12-29T07:59:00</t>
  </si>
  <si>
    <t>Your credit card has been used for a purchase. Details: Card number: VISA2 Amount: QAR 42 Location: Pain Au Cafe Shop Available balance: QAR 138.27.</t>
  </si>
  <si>
    <t>2025-12-29T00:17:00</t>
  </si>
  <si>
    <t>OLIVIA RESTAURANT</t>
  </si>
  <si>
    <t>Your debit card has been used for a purchase, details: Card number: MDEBIT2 Amount: QAR 89 Location: OLIVIA RESTAURANT Available balance: QAR 8274.04</t>
  </si>
  <si>
    <t>WOQOD - AL EGLA (LUSAI</t>
  </si>
  <si>
    <t>Your debit card has been used for a purchase, details: Card number: MDEBIT2 Amount: QAR 5 Location: WOQOD - AL EGLA (LUSAI Available balance: QAR 8269.04</t>
  </si>
  <si>
    <t>2025-12-28T18:07:00</t>
  </si>
  <si>
    <t>URBAN WASH LAUNDRY</t>
  </si>
  <si>
    <t>Your debit card has been used for a purchase, details: Card number: MDEBIT2 Amount: QAR 110 Location: URBAN WASH LAUNDRY Available balance: QAR 8363.04</t>
  </si>
  <si>
    <t>2025-12-28T11:16:00</t>
  </si>
  <si>
    <t>There was a fund transfer to your account, Details: Account number: CURRENT1 Amount: QAR 30 From Alias: 33413435 Value Date: 28-12-2025 The Available Balance is: QAR 8473.04</t>
  </si>
  <si>
    <t>2025-12-28T07:40:00</t>
  </si>
  <si>
    <t>Your credit card has been used for a purchase. Details: Card number: VISA2 Amount: QAR 85.9 Location: Keeta Available balance: QAR 180.71.</t>
  </si>
  <si>
    <t>There was a fund transfer to your account, Details: Account number: CURRENT1 Amount: QAR 30 From Alias: 33131126 Value Date: 28-12-2025 The Available Balance is: QAR 8433.2</t>
  </si>
  <si>
    <t>2025-12-27T22:01:00</t>
  </si>
  <si>
    <t>AMAZON PRIME PMTS</t>
  </si>
  <si>
    <t>Your credit card has been used for a purchase. Details: Card number: VISA2 Amount: USD 16.32 approx. Location: AMAZON PRIME PMTS Available balance: QAR 266.61.</t>
  </si>
  <si>
    <t>Your debit card has been used for a purchase, details: Card number: MDEBIT2 Amount: QAR 60 Location: Talabat QFC LLC Available balance: QAR 8403.2</t>
  </si>
  <si>
    <t>2025-12-27T20:36:00</t>
  </si>
  <si>
    <t>Your credit card has been used for a purchase. Details: Card number: VISA2 Amount: QAR 137.5 Location: Talabat QFC LLC Available balance: QAR 327.2.</t>
  </si>
  <si>
    <t>2025-12-27T17:03:00</t>
  </si>
  <si>
    <t>Your debit card has been used for a purchase, details: Card number: MDEBIT2 Amount: QAR 79 Location: Keeta Available balance: QAR 8865</t>
  </si>
  <si>
    <t>2025-12-27T14:55:00</t>
  </si>
  <si>
    <t>Ooredoo QPSC</t>
  </si>
  <si>
    <t>Your debit card has been used for a purchase, details: Card number: MDEBIT2 Amount: QAR 309 Location: Ooredoo QPSC Available balance: QAR 8946.37</t>
  </si>
  <si>
    <t>2025-12-27T10:01:00</t>
  </si>
  <si>
    <t>Your credit card has been used for a purchase. Details: Card number: VISA2 Amount: QAR 70.9 Location: Keeta Available balance: QAR 64.7.</t>
  </si>
  <si>
    <t>2025-12-26T23:47:00</t>
  </si>
  <si>
    <t>HAMAD INTER.AIRPORT AR</t>
  </si>
  <si>
    <t>Your QNB debit card has been used, below are the details: Debit card: MDEBIT2 Amount: QAR 500 Location: HAMAD INTER.AIRPORT AR Available balance: QAR 10208.64.</t>
  </si>
  <si>
    <t>QDF ARRIVAL</t>
  </si>
  <si>
    <t>Your debit card has been used for a purchase, details: Card number: MDEBIT2 Amount: QAR 283 Location: QDF ARRIVAL Available balance: QAR 9925.64</t>
  </si>
  <si>
    <t>QATAR RAIL</t>
  </si>
  <si>
    <t>Your debit card has been used for a purchase, details: Card number: MDEBIT2 Amount: QAR 60 Location: QATAR RAIL Available balance: QAR 9865.64</t>
  </si>
  <si>
    <t>Your credit card has been used for a purchase. Details: Card number: VISA2 Amount: QAR 7.94 approx. Location: UBER * PENDING Available balance: QAR 135.6.</t>
  </si>
  <si>
    <t>Your debit card has been used for a purchase, details: Card number: MDEBIT2 Amount: QAR 23.5 Location: Keeta Available balance: QAR 9841.44</t>
  </si>
  <si>
    <t>Lulu hypermarket Ipg</t>
  </si>
  <si>
    <t>Your debit card has been used for a purchase, details: Card number: MDEBIT2 Amount: QAR 569 Location: Lulu hypermarket Ipg Available balance: QAR 9255.37</t>
  </si>
  <si>
    <t>2025-12-26T19:26:00</t>
  </si>
  <si>
    <t>57 D</t>
  </si>
  <si>
    <t>Your credit card has been used for a purchase. Details: Card number: VISA2 Amount: USD 64 approx. Location: 57 D Available balance: QAR 223.37.</t>
  </si>
  <si>
    <t>BAR TARTINE</t>
  </si>
  <si>
    <t>Your credit card has been used for a purchase. Details: Card number: VISA2 Amount: USD 12.5 approx. Location: BAR TARTINE Available balance: QAR 176.96.</t>
  </si>
  <si>
    <t>BURGER KING-DEP1</t>
  </si>
  <si>
    <t>Your credit card has been used for a purchase. Details: Card number: VISA2 Amount: USD 9 approx. Location: BURGER KING-DEP1 Available balance: QAR 143.54.</t>
  </si>
  <si>
    <t>2025-12-26T03:03:00</t>
  </si>
  <si>
    <t>TORINO EXPRESS</t>
  </si>
  <si>
    <t>Your debit card has been used for a purchase, details: Card number: MDEBIT2 Amount: USD 14 Location: TORINO EXPRESS Available balance: QAR 11061.05</t>
  </si>
  <si>
    <t>MONDAYS OFF</t>
  </si>
  <si>
    <t>Your debit card has been used for a purchase, details: Card number: MDEBIT2 Amount: USD 18 Location: MONDAYS OFF Available balance: QAR 10993.57</t>
  </si>
  <si>
    <t>Your debit card has been used for a purchase, details: Card number: MDEBIT2 Amount: USD 16 Location: MONDAYS OFF Available balance: QAR 10933.59</t>
  </si>
  <si>
    <t>Your debit card has been used for a purchase, details: Card number: MDEBIT2 Amount: USD 35 Location: MONDAYS OFF Available balance: QAR 10802.37</t>
  </si>
  <si>
    <t>Your debit card has been used for a purchase, details: Card number: MDEBIT2 Amount: USD 25 Location: MONDAYS OFF Available balance: QAR 10708.64</t>
  </si>
  <si>
    <t>2025-12-25T22:22:00</t>
  </si>
  <si>
    <t>Rawan Kelly Wehbe</t>
  </si>
  <si>
    <t>Transfer</t>
  </si>
  <si>
    <t>Funds were transferred from your account, Details: Account number: CURRENT1 Amount: QAR 700 To beneficiary: Rawan Kelly Wehbe Value Date: 25-12-2025 Swift Reference: MS4049492047 Available Balance: 11</t>
  </si>
  <si>
    <t>2025-12-25T20:51:00</t>
  </si>
  <si>
    <t>MANGO HOSPITALITY LB S</t>
  </si>
  <si>
    <t>Your credit card has been used for a purchase. Details: Card number: VISA2 Amount: USD 14.5 approx. Location: MANGO HOSPITALITY LB S Available balance: QAR 460.99.</t>
  </si>
  <si>
    <t>BISTROWISORS-TERRIBLE</t>
  </si>
  <si>
    <t>Your debit card has been used for a purchase, details: Card number: MDEBIT2 Amount: USD 122 Location: BISTROWISORS-TERRIBLE Available balance: QAR 11855.4</t>
  </si>
  <si>
    <t>Your debit card has been used for a purchase, details: Card number: MDEBIT2 Amount: QAR 36.77 Location: PAYPAL *GITHUB INC Available balance: QAR 11817.53</t>
  </si>
  <si>
    <t>2025-12-25T13:37:00</t>
  </si>
  <si>
    <t>Aleksandra Backic</t>
  </si>
  <si>
    <t>Funds were transferred from your account, Details: Account number: CURRENT1 Amount: QAR 1450 To beneficiary: Aleksandra Backic Value Date: 25-12-2025 Swift Reference: MS4049459645 Available Balance: 1</t>
  </si>
  <si>
    <t>Your credit card has been used for a purchase. Details: Card number: VISA2 Amount: QAR 40 Location: Ooredoo CC Top Up Available balance: QAR 514.83.</t>
  </si>
  <si>
    <t>2025-12-25T11:41:00</t>
  </si>
  <si>
    <t>Samer Bou Nassif</t>
  </si>
  <si>
    <t>Funds were transferred from your account, Details: Account number: CURRENT1 Amount: QAR 4000 To beneficiary: Samer Bou Nassif Value Date: 25-12-2025 Swift Reference: MS4049449976 Available Balance: 14</t>
  </si>
  <si>
    <t>EUR</t>
  </si>
  <si>
    <t>G2A.COM</t>
  </si>
  <si>
    <t>Your debit card has been used for a purchase, details: Card number: MDEBIT2 Amount: EUR 76.98 Location: G2A.COM Available balance: QAR 13766.8</t>
  </si>
  <si>
    <t>2025-12-25T09:59:00</t>
  </si>
  <si>
    <t>SALARY</t>
  </si>
  <si>
    <t>Your salary is credited to your account: Account number: CURRENT1 Salary amount: QAR 18000 Value Date: 25-12-2025 Available Balance: 18611.64</t>
  </si>
  <si>
    <t>2025-12-24T21:17:00</t>
  </si>
  <si>
    <t>Your debit card has been used for a purchase, details: Card number: MDEBIT2 Amount: QAR 15.19 Location: PAYPAL *GITHUB INC Available balance: QAR 605.59</t>
  </si>
  <si>
    <t>2025-12-24T13:16:00</t>
  </si>
  <si>
    <t>SPINNEYS AJALTOUN</t>
  </si>
  <si>
    <t>Your debit card has been used for a purchase, details: Card number: MDEBIT2 Amount: USD 40.86 Location: SPINNEYS AJALTOUN Available balance: QAR 621.23</t>
  </si>
  <si>
    <t>2025-12-23T21:25:00</t>
  </si>
  <si>
    <t>ABC DBAYEH</t>
  </si>
  <si>
    <t>Your debit card has been used for a purchase, details: Card number: MDEBIT2 Amount: USD 215 Location: ABC DBAYEH Available balance: QAR 774.42</t>
  </si>
  <si>
    <t>2025-12-23T20:14:00</t>
  </si>
  <si>
    <t>KABABJI-JAL EL DIB</t>
  </si>
  <si>
    <t>Your debit card has been used for a purchase, details: Card number: MDEBIT2 Amount: USD 16 Location: KABABJI-JAL EL DIB Available balance: QAR 1580.49</t>
  </si>
  <si>
    <t>2025-12-23T19:07:00</t>
  </si>
  <si>
    <t>PHARMACIE MUSEE</t>
  </si>
  <si>
    <t>Your debit card has been used for a purchase, details: Card number: MDEBIT2 Amount: USD 110 Location: PHARMACIE MUSEE Available balance: QAR 1640.47</t>
  </si>
  <si>
    <t>2025-12-23T13:19:00</t>
  </si>
  <si>
    <t>FACT SPECIAL PROJECTS FOR SERVIES</t>
  </si>
  <si>
    <t>There was a fund transfer to your account, Details: Account number: CURRENT1 Amount: QAR 2000 From: FACT SPECIAL PROJECTS FOR SERVIES Value Date: 23-12-2025 The Available Balance is: 2052.88</t>
  </si>
  <si>
    <t>2025-12-19T02:02:00</t>
  </si>
  <si>
    <t>ALFA - PREPAID</t>
  </si>
  <si>
    <t>Your credit card has been used for a purchase. Details: Card number: VISA2 Amount: USD 25.45 approx. Location: ALFA - PREPAID Available balance: QAR 158.55.</t>
  </si>
  <si>
    <t>BEIRUT DUTY FRE</t>
  </si>
  <si>
    <t>Your credit card has been used for a purchase. Details: Card number: VISA2 Amount: USD 27.8 approx. Location: BEIRUT DUTY FRE Available balance: QAR 55.33.</t>
  </si>
  <si>
    <t>2025-12-18T20:08:00</t>
  </si>
  <si>
    <t>QDF CENTRAL CONCOURSE</t>
  </si>
  <si>
    <t>Your debit card has been used for a purchase, details: Card number: MDEBIT2 Amount: QAR 384 Location: QDF CENTRAL CONCOURSE Available balance: QAR 83.35</t>
  </si>
  <si>
    <t>QDF CD104 DAY2DAY</t>
  </si>
  <si>
    <t>Your debit card has been used for a purchase, details: Card number: MDEBIT2 Amount: QAR 31.16 Location: QDF CD104 DAY2DAY Available balance: QAR 52.19</t>
  </si>
  <si>
    <t>2025-12-18T18:54:00</t>
  </si>
  <si>
    <t>Your credit card has been used for a purchase. Details: Card number: VISA2 Amount: QAR 56.93 approx. Location: UBER * PENDING Available balance: QAR 253.04.</t>
  </si>
  <si>
    <t>2025-12-18T13:24:00</t>
  </si>
  <si>
    <t>MEGA MART</t>
  </si>
  <si>
    <t>Your debit card has been used for a purchase, details: Card number: MDEBIT2 Amount: QAR 80 Location: MEGA MART Available balance: QAR 467.35</t>
  </si>
  <si>
    <t>2025-12-18T03:34:00</t>
  </si>
  <si>
    <t>FALAQ FOOD CENTRE</t>
  </si>
  <si>
    <t>Your debit card has been used for a purchase, details: Card number: MDEBIT2 Amount: QAR 15 Location: FALAQ FOOD CENTRE Available balance: QAR 540.49</t>
  </si>
  <si>
    <t>2025-12-17T22:07:00</t>
  </si>
  <si>
    <t>ALFARDANEXCHANGE VENDO</t>
  </si>
  <si>
    <t>Your debit card has been used for a purchase, details: Card number: MDEBIT2 Amount: QAR 8763 Location: ALFARDANEXCHANGE VENDO Available balance: QAR 555.49</t>
  </si>
  <si>
    <t>2025-12-17T17:55:00</t>
  </si>
  <si>
    <t>Your debit card has been used for a purchase, details: Card number: MDEBIT2 Amount: QAR 47.49 Location: PAYPAL *BATTLE.NET EU3 Available balance: QAR 9618.49</t>
  </si>
  <si>
    <t>Your debit card has been used for a purchase, details: Card number: MDEBIT2 Amount: QAR 300 Location: MAGNUM HOTEL CONSULTAN Available balance: QAR 9318.49</t>
  </si>
  <si>
    <t>WOQOD - AL DAFNA PS</t>
  </si>
  <si>
    <t>Your credit card has been used for a purchase. Details: Card number: VISA2 Amount: QAR 122 Location: WOQOD - AL DAFNA PS Available balance: QAR 309.97.</t>
  </si>
  <si>
    <t>2025-12-17T10:59:00</t>
  </si>
  <si>
    <t>Your credit card has been used for a purchase. Details: Card number: VISA2 Amount: USD 14.98 approx. Location: GAMMA.APP Available balance: QAR 431.97.</t>
  </si>
  <si>
    <t>2025-12-17T08:13:00</t>
  </si>
  <si>
    <t>Your credit card has been used for a purchase. Details: Card number: VISA2 Amount: QAR 25 Location: Keeta Available balance: QAR 524.72.</t>
  </si>
  <si>
    <t>There was a fund transfer to your account, Details: Account number: CURRENT1 Amount: QAR 7500 From: AFIF BOU NASSIF OR NICOLE DAOU Value Date: 17-12-2025 The Available Balance is: 9704.89</t>
  </si>
  <si>
    <t>Your debit card has been used for a purchase, details: Card number: MDEBIT2 Amount: USD 10 Location: ANTHROPIC Available balance: QAR 9667.4</t>
  </si>
  <si>
    <t>Your credit card has been used for a purchase. Details: Card number: VISA2 Amount: USD 10 approx. Location: GAMMA.APP Available balance: QAR 487.59.</t>
  </si>
  <si>
    <t>2025-12-16T19:48:00</t>
  </si>
  <si>
    <t>VOGUE MENS SALON</t>
  </si>
  <si>
    <t>Your debit card has been used for a purchase, details: Card number: MDEBIT2 Amount: QAR 130 Location: VOGUE MENS SALON Available balance: QAR 2834.67</t>
  </si>
  <si>
    <t>Your debit card has been used for a purchase, details: Card number: MDEBIT2 Amount: QAR 126 Location: Keeta Available balance: QAR 2704.89</t>
  </si>
  <si>
    <t>2025-12-16T18:17:00</t>
  </si>
  <si>
    <t>FAT BURGER</t>
  </si>
  <si>
    <t>Your credit card has been used for a purchase. Details: Card number: VISA2 Amount: QAR 38 Location: FAT BURGER Available balance: QAR 81.72.</t>
  </si>
  <si>
    <t>THE MARKET HALL</t>
  </si>
  <si>
    <t>Your credit card has been used for a purchase. Details: Card number: VISA2 Amount: QAR 32 Location: THE MARKET HALL Available balance: QAR 49.72.</t>
  </si>
  <si>
    <t>There was a fund transfer to your account, Details: Account number: CURRENT1 Amount: QAR 1200 From: AFIF BOU NASSIF OR NICOLE DAOU Value Date: 16-12-2025 The Available Balance is: 2964.67</t>
  </si>
  <si>
    <t>2025-12-16T09:29:00</t>
  </si>
  <si>
    <t>There was a fund transfer to your account, Details: Account number: CURRENT1 Amount: QAR 25 From Alias: 33413435 Value Date: 16-12-2025 The Available Balance is: QAR 1764.67</t>
  </si>
  <si>
    <t>2025-12-16T07:46:00</t>
  </si>
  <si>
    <t>Your debit card has been used for a purchase, details: Card number: MDEBIT2 Amount: QAR 72.6 Location: Keeta Available balance: QAR 1739.67</t>
  </si>
  <si>
    <t>2025-12-15T20:30:00</t>
  </si>
  <si>
    <t>IKEA</t>
  </si>
  <si>
    <t>Your credit card has been used for a purchase. Details: Card number: VISA2 Amount: QAR 5 Location: IKEA Available balance: QAR 145.72.</t>
  </si>
  <si>
    <t>BOOTS</t>
  </si>
  <si>
    <t>Your credit card has been used for a purchase. Details: Card number: VISA2 Amount: QAR 26 Location: BOOTS Available balance: QAR 119.72.</t>
  </si>
  <si>
    <t>MONOPRIX HYPERMARKET</t>
  </si>
  <si>
    <t>Your debit card has been used for a purchase, details: Card number: MDEBIT2 Amount: QAR 130.25 Location: MONOPRIX HYPERMARKET Available balance: QAR 2033.44</t>
  </si>
  <si>
    <t>MARKS &amp; SPENCER</t>
  </si>
  <si>
    <t>Your debit card has been used for a purchase, details: Card number: MDEBIT2 Amount: QAR 219 Location: MARKS &amp; SPENCER Available balance: QAR 1814.44</t>
  </si>
  <si>
    <t>2025-12-15T19:16:00</t>
  </si>
  <si>
    <t>MUJI</t>
  </si>
  <si>
    <t>Your credit card has been used for a purchase. Details: Card number: VISA2 Amount: QAR 9 Location: MUJI Available balance: QAR 651.72.</t>
  </si>
  <si>
    <t>Your credit card has been used for a purchase. Details: Card number: VISA2 Amount: QAR 28 Location: RAISING CANES Available balance: QAR 623.72.</t>
  </si>
  <si>
    <t>LEGO</t>
  </si>
  <si>
    <t>Your credit card has been used for a purchase. Details: Card number: VISA2 Amount: QAR 314 Location: LEGO Available balance: QAR 309.72.</t>
  </si>
  <si>
    <t>Your credit card has been used for a purchase. Details: Card number: VISA2 Amount: QAR 3 Location: RAISING CANES Available balance: QAR 306.72.</t>
  </si>
  <si>
    <t>POTTERY BARN</t>
  </si>
  <si>
    <t>Your credit card has been used for a purchase. Details: Card number: VISA2 Amount: QAR 156 Location: POTTERY BARN Available balance: QAR 150.72.</t>
  </si>
  <si>
    <t>2025-12-14T20:22:00</t>
  </si>
  <si>
    <t>Your debit card has been used for a purchase, details: Card number: MDEBIT2 Amount: QAR 44.19 Location: PAYPAL *GAMER2GAMER Available balance: QAR 2163.69</t>
  </si>
  <si>
    <t>2025-12-14T18:14:00</t>
  </si>
  <si>
    <t>ALIF STORE</t>
  </si>
  <si>
    <t>Your credit card has been used for a purchase. Details: Card number: VISA2 Amount: QAR 578 Location: ALIF STORE Available balance: QAR 660.72.</t>
  </si>
  <si>
    <t>2025-12-14T07:36:00</t>
  </si>
  <si>
    <t>Your credit card has been used for a purchase. Details: Card number: VISA2 Amount: QAR 42 Location: Pain Au Cafe Shop Available balance: QAR 1238.72.</t>
  </si>
  <si>
    <t>2025-12-13T15:01:00</t>
  </si>
  <si>
    <t>Your credit card has been used for a purchase. Details: Card number: VISA2 Amount: QAR 65.6 Location: Keeta Available balance: QAR 1280.72.</t>
  </si>
  <si>
    <t>2025-12-13T02:17:00</t>
  </si>
  <si>
    <t>Your credit card has been used for a purchase. Details: Card number: VISA2 Amount: QAR 53.2 Location: Keeta Available balance: QAR 1346.32.</t>
  </si>
  <si>
    <t>2025-12-12T19:46:00</t>
  </si>
  <si>
    <t>Your credit card has been used for a purchase. Details: Card number: VISA2 Amount: QAR 18 Location: Keeta Available balance: QAR 1399.52.</t>
  </si>
  <si>
    <t>2025-12-12T13:00:00</t>
  </si>
  <si>
    <t>Your credit card has been used for a purchase. Details: Card number: VISA2 Amount: QAR 40 Location: Keeta Available balance: QAR 1417.52.</t>
  </si>
  <si>
    <t>2025-12-12T11:25:00</t>
  </si>
  <si>
    <t>Your credit card has been used for a purchase. Details: Card number: VISA2 Amount: QAR 27.6 Location: Keeta Available balance: QAR 1457.52.</t>
  </si>
  <si>
    <t>2025-12-11T23:17:00</t>
  </si>
  <si>
    <t>Your credit card has been used for a purchase. Details: Card number: VISA2 Amount: QAR 59 Location: Keeta Available balance: QAR 1485.12.</t>
  </si>
  <si>
    <t>2025-12-11T19:53:00</t>
  </si>
  <si>
    <t>PULLMAN HOTELS</t>
  </si>
  <si>
    <t>Your credit card has been used for a purchase. Details: Card number: VISA2 Amount: QAR 420 Location: PULLMAN HOTELS Available balance: QAR 1544.12.</t>
  </si>
  <si>
    <t>2025-12-11T12:24:00</t>
  </si>
  <si>
    <t>There was a fund transfer to your account, Details: Account number: CURRENT1 Amount: QAR 60 From Alias: QA55XXXXXXXXXXXXXXXXXXX023001 Value Date: 11-12-2025 The Available Balance is: QAR 2208.57</t>
  </si>
  <si>
    <t>2025-12-11T07:34:00</t>
  </si>
  <si>
    <t>Your credit card has been used for a purchase. Details: Card number: VISA2 Amount: QAR 169 Location: Keeta Available balance: QAR 1964.16.</t>
  </si>
  <si>
    <t>2025-12-10T16:55:00</t>
  </si>
  <si>
    <t>Your credit card has been used for a purchase. Details: Card number: VISA2 Amount: QAR 59 Location: Keeta Available balance: QAR 2133.16.</t>
  </si>
  <si>
    <t>2025-12-10T08:50:00</t>
  </si>
  <si>
    <t>Your credit card has been used for a purchase. Details: Card number: VISA2 Amount: USD 5 approx. Location: MEDIUM MONTHLY Available balance: QAR 1172.38.</t>
  </si>
  <si>
    <t>2025-12-09T21:20:00</t>
  </si>
  <si>
    <t>Your debit card has been used for a purchase, details: Card number: MDEBIT2 Amount: QAR 43.92 Location: PAYPAL *GAMER2GAMER Available balance: QAR 3168.35</t>
  </si>
  <si>
    <t>2025-12-09T20:04:00</t>
  </si>
  <si>
    <t>Your salary is credited to your account: Account number: CURRENT1 Salary amount: QAR 2500 Value Date: 09-12-2025 Available Balance: 3213.58</t>
  </si>
  <si>
    <t>2025-12-09T16:37:00</t>
  </si>
  <si>
    <t>Your credit card has been used for a purchase. Details: Card number: VISA2 Amount: QAR 79 Location: Keeta Available balance: QAR 1190.94.</t>
  </si>
  <si>
    <t>2025-12-09T08:29:00</t>
  </si>
  <si>
    <t>There was a fund transfer to your account, Details: Account number: CURRENT1 Amount: QAR 25 From Alias: 33413435 Value Date: 09-12-2025 The Available Balance is: QAR 713.58</t>
  </si>
  <si>
    <t>2025-12-09T07:32:00</t>
  </si>
  <si>
    <t>Your credit card has been used for a purchase. Details: Card number: VISA2 Amount: QAR 103.4 Location: Keeta Available balance: QAR 1269.94.</t>
  </si>
  <si>
    <t>2025-12-08T16:08:00</t>
  </si>
  <si>
    <t>Your credit card has been used for a purchase. Details: Card number: VISA2 Amount: QAR 30 Location: WOQOD - AL EGLA (LUSAI Available balance: QAR 1373.34.</t>
  </si>
  <si>
    <t>2025-12-07T16:36:00</t>
  </si>
  <si>
    <t>Your credit card has been used for a purchase. Details: Card number: VISA2 Amount: QAR 34.3 Location: Keeta Available balance: QAR 1403.83.</t>
  </si>
  <si>
    <t>2025-12-07T07:59:00</t>
  </si>
  <si>
    <t>Your credit card has been used for a purchase. Details: Card number: VISA2 Amount: QAR 25 Location: Talabat QFC LLC Available balance: QAR 1660.9.</t>
  </si>
  <si>
    <t>Your credit card has been used for a purchase. Details: Card number: VISA2 Amount: USD 60 approx. Location: OPENAI *CHATGPT SUBSCR Available balance: QAR 1438.13.</t>
  </si>
  <si>
    <t>2025-12-06T20:46:00</t>
  </si>
  <si>
    <t>Your credit card has been used for a purchase. Details: Card number: VISA2 Amount: QAR 13.94 approx. Location: UBR* PENDING.UBER.COM Available balance: QAR 1685.9.</t>
  </si>
  <si>
    <t>2025-12-06T14:08:00</t>
  </si>
  <si>
    <t>Your credit card has been used for a purchase. Details: Card number: VISA2 Amount: QAR 65.3 Location: Keeta Available balance: QAR 1699.84.</t>
  </si>
  <si>
    <t>2025-12-05T23:42:00</t>
  </si>
  <si>
    <t>Your credit card has been used for a purchase. Details: Card number: VISA2 Amount: QAR 51.2 Location: Keeta Available balance: QAR 765.14.</t>
  </si>
  <si>
    <t>2025-12-05T15:33:00</t>
  </si>
  <si>
    <t>Your credit card has been used for a purchase. Details: Card number: VISA2 Amount: QAR 25 Location: Talabat QFC LLC Available balance: QAR 816.34.</t>
  </si>
  <si>
    <t>2025-12-04T23:02:00</t>
  </si>
  <si>
    <t>Your credit card has been used for a purchase. Details: Card number: VISA2 Amount: QAR 160 Location: WOQOD - AL EGLA (LUSAI Available balance: QAR 841.34.</t>
  </si>
  <si>
    <t>2025-12-04T15:07:00</t>
  </si>
  <si>
    <t>Your debit card has been used for a purchase, details: Card number: MDEBIT2 Amount: QAR 80 Location: CENTRA SUPERMARKETS AN Available balance: QAR 1765.69</t>
  </si>
  <si>
    <t>Your debit card has been used for a purchase, details: Card number: MDEBIT2 Amount: QAR 80 Location: CENTRA SUPERMARKETS AN Available balance: QAR 1685.69</t>
  </si>
  <si>
    <t>2025-12-04T12:05:00</t>
  </si>
  <si>
    <t>Your debit card has been used for a purchase, details: Card number: MDEBIT2 Amount: USD 10 Location: ANTHROPIC Available balance: QAR 1845.69</t>
  </si>
  <si>
    <t>2025-12-04T08:16:00</t>
  </si>
  <si>
    <t>Your credit card has been used for a purchase. Details: Card number: VISA2 Amount: QAR 21.56 Location: Keeta Available balance: QAR 1001.34.</t>
  </si>
  <si>
    <t>2025-12-03T23:39:00</t>
  </si>
  <si>
    <t>FOUR SEASONS DOHA CURI</t>
  </si>
  <si>
    <t>Your credit card has been used for a purchase. Details: Card number: VISA2 Amount: QAR 160 Location: FOUR SEASONS DOHA CURI Available balance: QAR 1022.9.</t>
  </si>
  <si>
    <t>USD_WALLET</t>
  </si>
  <si>
    <t>Your USD Wallet has been used for a purchase for USD 1.81 approx. at RENDER.COM and the available balance is USD 6.52.</t>
  </si>
  <si>
    <t>2025-12-03T17:36:00</t>
  </si>
  <si>
    <t>Your credit card has been used for a purchase. Details: Card number: VISA2 Amount: QAR 78.5 Location: Talabat QFC LLC Available balance: QAR 1182.9.</t>
  </si>
  <si>
    <t>2025-12-03T16:27:00</t>
  </si>
  <si>
    <t>PRIMARY HEALTH CARE CO</t>
  </si>
  <si>
    <t>Your debit card has been used for a purchase, details: Card number: MDEBIT2 Amount: QAR 2.1 Location: PRIMARY HEALTH CARE CO Available balance: QAR 1879.72</t>
  </si>
  <si>
    <t>2025-12-02T15:12:00</t>
  </si>
  <si>
    <t>PAYPAL *BLIZZARD EU313</t>
  </si>
  <si>
    <t>Your debit card has been used for a purchase, details: Card number: MDEBIT2 Amount: QAR 179 Location: PAYPAL *BLIZZARD EU313 Available balance: QAR 1881.82</t>
  </si>
  <si>
    <t>2025-12-01T21:08:00</t>
  </si>
  <si>
    <t>MISSUS WASH LAUNDRY</t>
  </si>
  <si>
    <t>Your credit card has been used for a purchase. Details: Card number: VISA2 Amount: QAR 60 Location: MISSUS WASH LAUNDRY Available balance: QAR 1261.49.</t>
  </si>
  <si>
    <t>2025-12-01T18:04:00</t>
  </si>
  <si>
    <t>31104707</t>
  </si>
  <si>
    <t>Your funds transfer request using Fawran has been processed successfully, details: To Alias: 31104707 Amount: QAR 250 The Available Balance is: QAR 2066.17</t>
  </si>
  <si>
    <t>2025-12-01T15:55:00</t>
  </si>
  <si>
    <t>Google GSUITE fact.qa</t>
  </si>
  <si>
    <t>Your credit card has been used for a purchase. Details: Card number: VISA2 Amount: USD 17.92 approx. Location: Google GSUITE fact.qa Available balance: QAR 1321.49.</t>
  </si>
  <si>
    <t>2025-12-01T09:28:00</t>
  </si>
  <si>
    <t>Your credit card has been used for a purchase. Details: Card number: VISA2 Amount: QAR 37.94 Location: Keeta Available balance: QAR 1388.02.</t>
  </si>
  <si>
    <t>2025-12-01T06:12:00</t>
  </si>
  <si>
    <t>Your debit card has been used for a purchase, details: Card number: MDEBIT2 Amount: QAR 52 Location: PAYPAL *GAMER2GAMER Available balance: QAR 2316.17</t>
  </si>
  <si>
    <t>2025-11-30T20:58:00</t>
  </si>
  <si>
    <t>Your credit card has been used for a purchase. Details: Card number: VISA2 Amount: QAR 25.2 Location: Keeta Available balance: QAR 1425.96.</t>
  </si>
  <si>
    <t>2025-11-30T18:46:00</t>
  </si>
  <si>
    <t>Your debit card has been used for a purchase, details: Card number: MDEBIT2 Amount: USD 20 Location: CLAUDE.AI SUBSCRIPTION Available balance: QAR 2369.73</t>
  </si>
  <si>
    <t>2025-11-30T13:20:00</t>
  </si>
  <si>
    <t>Your credit card has been used for a purchase. Details: Card number: VISA2 Amount: QAR 19 Location: Pain Au Cafe Shop Available balance: QAR 1451.41.</t>
  </si>
  <si>
    <t>2025-11-30T07:50:00</t>
  </si>
  <si>
    <t>Your credit card has been used for a purchase. Details: Card number: VISA2 Amount: QAR 27 Location: Pain Au Cafe Shop Available balance: QAR 1470.41.</t>
  </si>
  <si>
    <t>2025-11-29T14:31:00</t>
  </si>
  <si>
    <t>LWZAAR</t>
  </si>
  <si>
    <t>Your debit card has been used for a purchase, details: Card number: MDEBIT2 Amount: QAR 493.42 Location: LWZAAR Available balance: QAR 2442.54</t>
  </si>
  <si>
    <t>2025-11-29T00:42:00</t>
  </si>
  <si>
    <t>AURA YACHT CLUB RESTAU</t>
  </si>
  <si>
    <t>Your credit card has been used for a purchase. Details: Card number: VISA2 Amount: QAR 40 Location: AURA YACHT CLUB RESTAU Available balance: QAR 1781.41.</t>
  </si>
  <si>
    <t>Your credit card has been used for a purchase. Details: Card number: VISA2 Amount: QAR 110 Location: AURA YACHT CLUB RESTAU Available balance: QAR 1671.41.</t>
  </si>
  <si>
    <t>Your credit card has been used for a purchase. Details: Card number: VISA2 Amount: QAR 110 Location: AURA YACHT CLUB RESTAU Available balance: QAR 1561.41.</t>
  </si>
  <si>
    <t>Your credit card has been used for a purchase. Details: Card number: VISA2 Amount: QAR 64 Location: Keeta Available balance: QAR 1497.41.</t>
  </si>
  <si>
    <t>2025-11-28T15:44:00</t>
  </si>
  <si>
    <t>Your credit card has been used for a purchase. Details: Card number: VISA2 Amount: QAR 177 Location: DUSIT HOTEL AND SUITES Available balance: QAR 2678.36.</t>
  </si>
  <si>
    <t>Your credit card has been used for a purchase. Details: Card number: VISA2 Amount: QAR 177 Location: DUSIT HOTEL AND SUITES Available balance: QAR 2501.36.</t>
  </si>
  <si>
    <t>Your credit card has been used for a purchase. Details: Card number: VISA2 Amount: QAR 177 Location: DUSIT HOTEL AND SUITES Available balance: QAR 2324.36.</t>
  </si>
  <si>
    <t>Your credit card has been used for a purchase. Details: Card number: VISA2 Amount: QAR 508 Location: DUSIT HOTEL AND SUITES Available balance: QAR 1816.36.</t>
  </si>
  <si>
    <t>2025-11-28T13:02:00</t>
  </si>
  <si>
    <t>CARREFOUR</t>
  </si>
  <si>
    <t>Your credit card has been used for a purchase. Details: Card number: VISA2 Amount: QAR 82.25 Location: CARREFOUR Available balance: QAR 2855.36.</t>
  </si>
  <si>
    <t>2025-11-28T12:51:00</t>
  </si>
  <si>
    <t>THE APPROVED MARKET</t>
  </si>
  <si>
    <t>Your credit card has been used for a purchase. Details: Card number: VISA2 Amount: QAR 14 Location: THE APPROVED MARKET Available balance: QAR 2937.61.</t>
  </si>
  <si>
    <t>2025-11-28T11:17:00</t>
  </si>
  <si>
    <t>Funds were transferred from your account, Details: Account number: CURRENT1 Amount: QAR 4000 To beneficiary: Samer Bou Nassif Value Date: 28-11-2025 Swift Reference: MS3847947189 Available Balance: 29</t>
  </si>
  <si>
    <t>2025-11-27T21:51:00</t>
  </si>
  <si>
    <t>Your credit card has been used for a purchase. Details: Card number: VISA2 Amount: USD 1.36 approx. Location: AMAZON PRIME PMTS Available balance: QAR 3660.14.</t>
  </si>
  <si>
    <t>Your credit card has been used for a purchase. Details: Card number: VISA2 Amount: USD 46.2 approx. Location: G2A.COM Available balance: QAR 3488.61.</t>
  </si>
  <si>
    <t>FNAC VENDOME</t>
  </si>
  <si>
    <t>Your credit card has been used for a purchase. Details: Card number: VISA2 Amount: QAR 399 Location: FNAC VENDOME Available balance: QAR 3089.61.</t>
  </si>
  <si>
    <t>URBAN OUTFITTERS VENDO</t>
  </si>
  <si>
    <t>Your credit card has been used for a purchase. Details: Card number: VISA2 Amount: QAR 138 Location: URBAN OUTFITTERS VENDO Available balance: QAR 2951.61.</t>
  </si>
  <si>
    <t>2025-11-27T19:14:00</t>
  </si>
  <si>
    <t>Your credit card has been used for a purchase. Details: Card number: VISA2 Amount: QAR 125 Location: Ooredoo CC Top Up Available balance: QAR 3665.19.</t>
  </si>
  <si>
    <t>2025-11-27T18:57:00</t>
  </si>
  <si>
    <t>Ooredoo CC Bill Paymen</t>
  </si>
  <si>
    <t>Your credit card has been used for a purchase. Details: Card number: VISA2 Amount: QAR 59.81 Location: Ooredoo CC Bill Paymen Available balance: QAR 3790.19.</t>
  </si>
  <si>
    <t>2025-11-27T18:56:00</t>
  </si>
  <si>
    <t>LULU GIARDINO MALL</t>
  </si>
  <si>
    <t>Your credit card has been used for a purchase. Details: Card number: VISA2 Amount: QAR 105 Location: LULU GIARDINO MALL Available balance: QAR 3850.</t>
  </si>
  <si>
    <t>2025-11-27T17:30:00</t>
  </si>
  <si>
    <t>skpcash*PayLater</t>
  </si>
  <si>
    <t>Your credit card has been used for a purchase. Details: Card number: VISA2 Amount: QAR 1 Location: skpcash*PayLater Available balance: QAR 3999.</t>
  </si>
  <si>
    <t>Your debit card has been used for a purchase, details: Card number: MDEBIT2 Amount: QAR 3653 Location: ALFARDANEXCHANGE VENDO Available balance: QAR 6939.96</t>
  </si>
  <si>
    <t>Your credit card has been used for a purchase. Details: Card number: VISA2 Amount: QAR 44 Location: MARKS &amp; SPENCER Available balance: QAR 3955.</t>
  </si>
  <si>
    <t>2025-11-27T15:24:00</t>
  </si>
  <si>
    <t>EvergreenOrganics-qlub</t>
  </si>
  <si>
    <t>Your debit card has been used for a purchase, details: Card number: MDEBIT2 Amount: QAR 72.45 Location: EvergreenOrganics-qlub Available balance: QAR 10834.96</t>
  </si>
  <si>
    <t>SUSHI PONTO REST</t>
  </si>
  <si>
    <t>Your debit card has been used for a purchase, details: Card number: MDEBIT2 Amount: QAR 242 Location: SUSHI PONTO REST Available balance: QAR 10592.96</t>
  </si>
  <si>
    <t>2025-11-27T11:11:00</t>
  </si>
  <si>
    <t>Your debit card has been used for a purchase, details: Card number: MDEBIT2 Amount: QAR 19 Location: Pain Au Cafe Sho Available balance: QAR 10907.99</t>
  </si>
  <si>
    <t>2025-11-27T08:47:00</t>
  </si>
  <si>
    <t>Your debit card has been used for a purchase, details: Card number: MDEBIT2 Amount: QAR 90.3 Location: Keeta Available balance: QAR 14929.99</t>
  </si>
  <si>
    <t>CITY CENTER MALL PARKI</t>
  </si>
  <si>
    <t>Your debit card has been used for a purchase, details: Card number: MDEBIT2 Amount: QAR 3 Location: CITY CENTER MALL PARKI Available balance: QAR 14926.99</t>
  </si>
  <si>
    <t>2025-11-27T07:17:15</t>
  </si>
  <si>
    <t>Afif Bou Nassif</t>
  </si>
  <si>
    <t>Funds were transferred from your account. Details: Account number: CURRENT1 Amount: QAR 3000 To Account: Afif Bou Nassif Available Balance: 15022.99</t>
  </si>
  <si>
    <t>2025-11-27T07:13:00</t>
  </si>
  <si>
    <t>Your salary is credited to your account: Account number: CURRENT1 Salary amount: QAR 18000 Value Date: 27-11-2025 Available Balance: 18022.99</t>
  </si>
  <si>
    <t>Funds were transferred from your account. Details: 
Account number: CURRENT1 
Amount: QAR 1527 
To Account: Afif Bou Nassif 
Available Balance: 8479.88 
In case the transaction is suspicious Please Ca</t>
  </si>
  <si>
    <t>There was a fund transfer to your account, Details: 
Account number: CURRENT1 
Amount: QAR 47 
From Alias: 33413435 
Value Date: 29-01-2026 
The Available Balance is: QAR 10006.88
In case this trans</t>
  </si>
  <si>
    <t>Funds were transferred from your account, Details:
Account number: CURRENT1
Amount: QAR 250
To beneficiary: Samer Bou Nassif
Value Date: 29-01-2026
Swift Reference: MS4151619477
Available Balance: 99</t>
  </si>
  <si>
    <t>Your credit card has been used for a purchase. 
Details: 
Card number: VISA2 
Amount: QAR 150 
Location: Talabat QFC LLC 
Available balance: QAR 1396.8. 
Keep using your QNB credit card to enjoy uniqu</t>
  </si>
  <si>
    <t>Your credit card has been used for a purchase.
Details:
Card number: VISA2
Amount: QAR 130
Location: DUSIT HOTEL AND SUITES
Available balance: QAR 1562.76.
Keep using your QNB credit card to enjoy uni</t>
  </si>
  <si>
    <t>Funds were transferred from your account. Details: Account number: CURRENT1 Amount: QAR 1500 To Account: Afif Bou Nassif Available Balance: 10939.4 In case the transaction is suspicious Please Call 44</t>
  </si>
  <si>
    <t xml:space="preserve">There was a fund transfer to your account, Details: Account number: CURRENT1 Amount: QAR 400 From Alias: 50371822 Value Date: 28-01-2026 The Available Balance is: QAR 12439.4 In case this transaction </t>
  </si>
  <si>
    <t>There was a fund transfer to your account, Details: Account number: CURRENT1 Amount: QAR 125 From Alias: QA55XXXXXXXXXXXXXXXXXXX023001 Value Date: 28-01-2026 The Available Balance is: QAR 12039.4 In c</t>
  </si>
  <si>
    <t xml:space="preserve">There was a fund transfer to your account, Details: Account number: CURRENT1 Amount: QAR 350 From Alias: 33131126 Value Date: 28-01-2026 The Available Balance is: QAR 11914.4 In case this transaction </t>
  </si>
  <si>
    <t xml:space="preserve">There was a fund transfer to your account, Details: Account number: CURRENT1 Amount: QAR 120 From Alias: 31645649 Value Date: 28-01-2026 The Available Balance is: QAR 11564.4 In case this transaction </t>
  </si>
  <si>
    <t>There was a fund transfer to your account, Details: Account number: CURRENT1 Amount: QAR 325 From Alias: QA28XXXXXXXXXXXXXXXXXXX016001 Value Date: 28-01-2026 The Available Balance is: QAR 11444.4 In c</t>
  </si>
  <si>
    <t>Your credit card has been used for a purchase. Details: Card number: VISA2 Amount: QAR 27 Location: Pain Au Cafe Shop Available balance: QAR 1992.76. Keep using your QNB credit card to enjoy unique be</t>
  </si>
  <si>
    <t xml:space="preserve">There was a fund transfer to your account, Details: Account number: CURRENT1 Amount: QAR 125 From Alias: 33413435 Value Date: 28-01-2026 The Available Balance is: QAR 11119.4 In case this transaction </t>
  </si>
  <si>
    <t>Funds were transferred from your account. Details: Account number: CURRENT1 Amount: QAR 4000 To Account: Afif Bou Nassif Available Balance: 10994.4 In case the transaction is suspicious Please Call 44</t>
  </si>
  <si>
    <t>MR TACO</t>
  </si>
  <si>
    <t>Your debit card has been used for a purchase, details: Card number: MDEBIT2 Amount: QAR 160 Location: MR TACO Available balance: QAR 14994.4 In case the transaction is suspicious Please Call 44407711</t>
  </si>
  <si>
    <t>ABERCROMBIE AND FITCH</t>
  </si>
  <si>
    <t xml:space="preserve">Your debit card has been used for a purchase, details: Card number: MDEBIT2 Amount: QAR 429 Location: ABERCROMBIE AND FITCH Available balance: QAR 15154.4 In case the transaction is suspicious Please </t>
  </si>
  <si>
    <t xml:space="preserve">Your debit card has been used for a purchase, details: Card number: MDEBIT2 Amount: EUR 79 Location: G2A.COM Available balance: QAR 17583.4 In case the transaction is suspicious Please Call </t>
  </si>
  <si>
    <t>Ooredoo QPSC 3</t>
  </si>
  <si>
    <t>Your debit card has been used for a purchase, details: Card number: MDEBIT2 Amount: QAR 65 Location: Ooredoo QPSC 3 Available balance: QAR 17936.1 In case the transaction is suspicious Please Call 444</t>
  </si>
  <si>
    <t>Your salary is credited to your account: Account number: CURRENT1 Salary amount: QAR 18000 Value Date: 27-01-2026 Available Balance: 18001.1 Thank you,</t>
  </si>
  <si>
    <t>Your debit card has been used for a purchase, details: Card number: MDEBIT2 Amount: QAR 5 Location: Ooredoo QPSC 3 Available balance: QAR 1.1 In case the transaction is suspicious Please Call 44407711</t>
  </si>
  <si>
    <t>Your credit card has been used for a purchase. Details: Card number: VISA2 Amount: QAR 8.96 approx. Location: UBER * PENDING Available balance: QAR 19.76. Keep using your QNB credit card to enjoy uniq</t>
  </si>
  <si>
    <t>Your credit card has been used for a purchase. Details: Card number: VISA2 Amount: QAR 18.95 approx. Location: UBR* PENDING.UBER.COM Available balance: QAR 28.72. Keep using your QNB credit card to en</t>
  </si>
  <si>
    <t>Your credit card has been used for a purchase. 
Details: 
Card number: VISA2 
Amount: QAR 7.95 approx. 
Location: UBR* PENDING.UBER.COM 
Available balance: QAR 1388.85. 
Keep using your QNB credit car</t>
  </si>
  <si>
    <t>Your credit card has been used for a purchase. 
Details: 
Card number: VISA2 
Amount: QAR 31.94 approx. 
Location: UBER * PENDING 
Available balance: QAR 1356.91. 
Keep using your QNB credit card to e</t>
  </si>
  <si>
    <t>Your credit card has been used for a purchase. 
Details: 
Card number: VISA2 
Amount: QAR 5.94 approx. 
Location: UBR* PENDING.UBER.COM 
Available balance: QAR 1350.97. 
Keep using your QNB credit car</t>
  </si>
  <si>
    <t>THE BARN RESTAURANT</t>
  </si>
  <si>
    <t>Your debit card has been used for a purchase, details:
Card number: MDEBIT2 
Amount: QAR 480
Location: THE BARN RESTAURANT
Available balance: QAR 7999.88
In case the transaction is suspicious Please C</t>
  </si>
  <si>
    <t>ST REGIS DOHA - FINANC</t>
  </si>
  <si>
    <t>Your debit card has been used for a purchase, details:
Card number: MDEBIT2 
Amount: QAR 135
Location: ST REGIS DOHA - FINANC
Available balance: QAR 7864.88
In case the transaction is suspicious Pleas</t>
  </si>
  <si>
    <t>Your debit card has been used for a purchase, details:
Card number: MDEBIT2 
Amount: QAR 255
Location: THE BARN RESTAURANT
Available balance: QAR 7744.88
In case the transaction is suspicious Please C</t>
  </si>
  <si>
    <t>Your credit card has been used for a purchase. 
Details: 
Card number: VISA2 
Amount: QAR 12.99 approx. 
Location: UBER * PENDING 
Available balance: QAR 1337.98. 
Keep using your QNB credit card to e</t>
  </si>
  <si>
    <t>Your credit card has been used for a purchase. 
Details: 
Card number: VISA2 
Amount: QAR 39.93 approx. 
Location: UBR* PENDING.UBER.COM 
Available balance: QAR 1298.05. 
Keep using you</t>
  </si>
  <si>
    <t>Your credit card has been used for a purchase. 
Details: 
Card number: VISA2 
Amount: QAR 24.96 approx. 
Location: UBR* PENDING.UBER.COM 
Available balance: QAR 1286.08. 
Keep using your QNB credit ca</t>
  </si>
  <si>
    <t>Your credit card has been used for a purchase. 
Details: 
Card number: VISA2 
Amount: QAR 1.15 approx. 
Location: UBER * PENDING 
Available balance: QAR 1284.93.</t>
  </si>
  <si>
    <t>Your debit card has been used for a purchase, details:
Card number: MDEBIT2 
Amount: QAR 309
Location: Ooredoo QPSC
Available balance: QAR 7099.88
In case the transaction is suspicious Please Call 444</t>
  </si>
  <si>
    <t>Your credit card has been used for a purchase. 
Details: 
Card number: VISA2 
Amount: QAR 30.93 approx. 
Location: UBER * PENDING 
Available balan</t>
  </si>
  <si>
    <t>Your debit card has been used for a purchase, details:
Card number: MDEBIT2 
Amount: EUR 104.25
Location: G2A.COM
Available balance: QAR 6630.94
In case the transaction is suspicious Please Call 44407</t>
  </si>
  <si>
    <t>Your credit card has been used for a purchase. 
Details: 
Card number: VISA2 
Amount: QAR 113.5 
Location: Keeta QFC LLC 
Available balance: QAR 1165.46. 
Keep using your QNB credit card to enjoy u</t>
  </si>
  <si>
    <t>IKEA QATAR</t>
  </si>
  <si>
    <t>Your credit card has been used for a purchase. 
Details: 
Card number: VISA2 
Amount: QAR 1791 
Location: IKEA QATAR 
Available balance: QAR 1382.85. 
Keep using your QNB credit card to enjoy unique b</t>
  </si>
  <si>
    <t>UBER</t>
  </si>
  <si>
    <t>Essentials</t>
  </si>
  <si>
    <t>Transport</t>
  </si>
  <si>
    <t>high</t>
  </si>
  <si>
    <t>{"timeOfDay":"afternoon","dayOfWeek":"Saturday","isWeekend":true,"reasoning":"The transaction is an Uber charge, which is typically transport-related. The small amount and afternoon timing support transport category. 'UBR* PENDING.UBER.COM' clearly indicates Uber ride payment, categorizing as Essentials &gt; Transport with high confidence."}</t>
  </si>
  <si>
    <t>Your credit card has been used for a purchase. 
Details: 
Card number: VISA2 
Amount: QAR .78 approx. 
Location: UBR* PENDING.UBER.COM 
Available balance: QAR 1387.07. 
Keep using your QNB credit card</t>
  </si>
  <si>
    <t>Bills</t>
  </si>
  <si>
    <t>{"timeOfDay":"evening","dayOfWeek":"Saturday","isWeekend":true,"reasoning":"Merchant name 'OPENAI *CHATGPT SUBSCR' indicates a subscription to ChatGPT, which is a digital service billed regularly, matching the Bills subcategory under Essentials. The evening weekend time and end of month supports typical bill payment or subscription charges. Amount circa USD 60 aligns with typical service subscription payments."}</t>
  </si>
  <si>
    <t>Your credit card has been used for a purchase. Details: Card number: VISA2 Amount: USD 60 approx. Location: OPENAI *CHATGPT SUBSCR Available balance: QAR 1164.3. Keep using your QNB credit card to enj</t>
  </si>
  <si>
    <t>Abercrombie &amp; Fitch</t>
  </si>
  <si>
    <t>Lifestyle</t>
  </si>
  <si>
    <t>Shopping</t>
  </si>
  <si>
    <t>{"timeOfDay":"evening","dayOfWeek":"Saturday","isWeekend":true,"reasoning":"The transaction is a purchase at 'Abercrombie &amp; Fitch', a well-known clothing retailer, which aligns clearly with the Shopping subcategory under Lifestyle. The amount is medium-high (339 QAR), consistent with typical shopping expenses. The weekend evening timing supports discretionary spending, reinforcing the classification with high confidence."}</t>
  </si>
  <si>
    <t xml:space="preserve">Your credit card has been used for a purchase. 
Details: 
Card number: VISA2 
Amount: QAR 339 
Location: ABERCROMBIE AND FITCH 
Available balance: QAR 825.3. 
Keep using your QNB credit card to enjoy </t>
  </si>
  <si>
    <t>{"timeOfDay":"night","dayOfWeek":"Saturday","isWeekend":true,"reasoning":"The merchant 'UBER' strongly indicates a transport service. The small amount (10.88 QAR) aligns with typical transport fares. Although the transaction occurred at night on a weekend, Uber usage is consistent with transport expenses. Therefore, categorized as Essentials &gt; Transport with high confidence."}</t>
  </si>
  <si>
    <t>Your credit card has been used for a purchase. 
Details: 
Card number: VISA2 
Amount: QAR 10.88 approx. 
Location: UBR* PENDING.UBER.COM 
Available balance: QAR 814.42. 
Keep using your QNB credit car</t>
  </si>
  <si>
    <t>Delivery</t>
  </si>
  <si>
    <t>{"timeOfDay":"night","dayOfWeek":"Saturday","isWeekend":true,"reasoning":"The transaction is a purchase at Talabat, which is a well-known food delivery service. The amount (QAR 75) fits typical food delivery expenses. The timing (night, weekend) aligns with common delivery use. Therefore, it is categorized as Lifestyle &gt; Delivery with high confidence."}</t>
  </si>
  <si>
    <t>Your credit card has been used for a purchase. 
Details: 
Card number: VISA2 
Amount: QAR 75 
Location: Talabat QFC LLC 
Available balance: QAR 739.42. 
Keep using your QNB credit card to enjoy unique</t>
  </si>
  <si>
    <t>TAP PAYMENTS</t>
  </si>
  <si>
    <t>medium</t>
  </si>
  <si>
    <t>{"timeOfDay":"morning","dayOfWeek":"Sunday","isWeekend":false,"reasoning":"The transaction is a high amount (1249 QAR) in the morning and is a purchase via 'TAP PAYMENTS', which is likely an electronic or app-based payment platform, commonly for shopping or online purchases rather than essentials. Given the large amount and merchant name not indicating groceries or transport, it is categorized as Lifestyle &gt; Shopping with medium confidence due to some uncertainty about the exact merchant type."}</t>
  </si>
  <si>
    <t>Your debit card has been used for a purchase, details:
Card number: MDEBIT2 
Amount: QAR 1249
Location: TAP PAYMENTS
Available balance: QAR 3374.7
In case the transaction is suspicious Please Call 444</t>
  </si>
  <si>
    <t>Google Workspace</t>
  </si>
  <si>
    <t>{"timeOfDay":"afternoon","dayOfWeek":"Sunday","isWeekend":false,"reasoning":"The transaction is a purchase at Google Workspace, which is a known subscription/service provider typically categorized as Bills under Essentials. The amount and vendor match this category with high confidence."}</t>
  </si>
  <si>
    <t>Your credit card has been used for a purchase. 
Details: 
Card number: VISA2 
Amount: USD 112.43 approx. 
Location: Google Workspace§fact. 
Available balance: QAR 322.77. 
Keep using your QNB credit c</t>
  </si>
  <si>
    <t>Dining</t>
  </si>
  <si>
    <t>{"timeOfDay":"morning","dayOfWeek":"Monday","isWeekend":false,"reasoning":"The transaction is a purchase at 'Pain Au Cafe', which is a known dining merchant. The amount (QAR 74) and morning time (8:00 AM) support a breakfast or coffee dining expense, fitting well within Lifestyle &gt; Dining category with high confidence."}</t>
  </si>
  <si>
    <t>Your credit card has been used for a purchase. 
Details: 
Card number: VISA2 
Amount: QAR 74 
Location: Pain Au Cafe Shop 
Available balance: QAR 248.77. 
Keep using your QNB credit card to enjoy uniq</t>
  </si>
  <si>
    <t>Uber</t>
  </si>
  <si>
    <t>{"timeOfDay":"afternoon","dayOfWeek":"Monday","isWeekend":false,"reasoning":"Transaction is a purchase with Uber, a known transport service. Amount is small and consistent with typical transport fares. High confidence in Transport subcategory under Essentials."}</t>
  </si>
  <si>
    <t>Your credit card has been used for a purchase. 
Details: 
Card number: VISA2 
Amount: QAR 19.93 approx. 
Location: UBR* PENDING.UBER.COM 
Available balance: QAR 228.44. 
Keep using your QNB credit car</t>
  </si>
  <si>
    <t>{"timeOfDay":"evening","dayOfWeek":"Monday","isWeekend":false,"reasoning":"The merchant is Uber, which is known for transport services. The small amount and evening timing also support a likely transport fare. Therefore, categorized as Essentials &gt; Transport with high confidence."}</t>
  </si>
  <si>
    <t>Your credit card has been used for a purchase. 
Details: 
Card number: VISA2 
Amount: QAR 3.87 approx. 
Location: UBER * PENDING 
Available balance: QAR 224.57. 
Keep using your QNB credit card to enj</t>
  </si>
  <si>
    <t>LE ROYAL MERIDIEN</t>
  </si>
  <si>
    <t>Bars &amp; Hotels</t>
  </si>
  <si>
    <t>{"timeOfDay":"night","dayOfWeek":"Monday","isWeekend":false,"reasoning":"LE ROYAL MERIDIEN is a well-known hotel brand. A QAR 300 purchase at night very likely corresponds to bars, hotels, or dining spending. Given the merchant is a hotel, it fits the \"Bars &amp; Hotels\" subcategory under Lifestyle with high confidence."}</t>
  </si>
  <si>
    <t>Your debit card has been used for a purchase, details:
Card number: MDEBIT2 
Amount: QAR 300
Location: LE ROYAL MERIDIEN G O
Available balance: QAR 3103.98
In case the transaction is suspicious Please</t>
  </si>
  <si>
    <t>{"timeOfDay":"night","dayOfWeek":"Monday","isWeekend":false,"reasoning":"The transaction is a purchase at 'Keeta', which is known as a delivery service merchant. The amount (46.75 QAR) aligns with delivery food expenses, and the merchant name matches a known delivery category. High confidence categorization as Lifestyle &gt; Delivery."}</t>
  </si>
  <si>
    <t xml:space="preserve">Your debit card has been used for a purchase, details:
Card number: MDEBIT2 
Amount: QAR 46.75
Location: Keeta QFC LLC
Available balance: QAR 3055.83
In case the transaction is suspicious Please Call </t>
  </si>
  <si>
    <t>{"timeOfDay":"morning","dayOfWeek":"Tuesday","isWeekend":false,"reasoning":"Transaction is a purchase at Uber, a known transport service. The small amount and morning timing support transport categorization. Uber is a clear match to Essentials &gt; Transport."}</t>
  </si>
  <si>
    <t>Your credit card has been used for a purchase. 
Details: 
Card number: VISA2 
Amount: QAR 11.56 approx. 
Location: UBER * PENDING 
Available balance: QAR 213.01. 
Keep using your QNB credit card to en</t>
  </si>
  <si>
    <t>{"timeOfDay":"morning","dayOfWeek":"Tuesday","isWeekend":false,"reasoning":"Uber is a ride-hailing service primarily associated with transport expenses. The small amount and morning time suggest a typical transport trip. Therefore, categorized as Essentials &gt; Transport with high confidence."}</t>
  </si>
  <si>
    <t>Your credit card has been used for a purchase. 
Details: 
Card number: VISA2 
Amount: QAR 11.56 approx. 
Location: UBR* PENDING.UBER.COM 
Available balance: QAR 201.45. 
Keep using your QNB credit car</t>
  </si>
  <si>
    <t>{"timeOfDay":"morning","dayOfWeek":"Tuesday","isWeekend":false,"reasoning":"The transaction is a purchase at Uber, commonly categorized as Transport. The amount is small, consistent with a typical Uber ride, and the time is morning, fitting usual transport usage patterns."}</t>
  </si>
  <si>
    <t>Your credit card has been used for a purchase. 
Details: 
Card number: VISA2 
Amount: QAR 20.79 approx. 
Location: UBER * PENDING 
Available balance: QAR 192.22. 
Keep using your QNB credit card to en</t>
  </si>
  <si>
    <t>{"timeOfDay":"morning","dayOfWeek":"Tuesday","isWeekend":false,"reasoning":"Keeta is a known delivery service, the amount (29.6 QAR) fits a typical small delivery food order, and the purchase happened in the morning which aligns with breakfast delivery. Therefore, classified as Lifestyle &gt; Delivery with high confidence."}</t>
  </si>
  <si>
    <t>Your credit card has been used for a purchase. 
Details: 
Card number: VISA2 
Amount: QAR 29.6 
Location: Keeta QFC LLC 
Available balance: QAR 162.62. 
Keep using your QNB credit card to enjoy unique</t>
  </si>
  <si>
    <t>{"timeOfDay":"morning","dayOfWeek":"Tuesday","isWeekend":false,"reasoning":"The transaction is a purchase at Talabat, which is known as a food delivery service, fitting into Lifestyle &gt; Delivery category. The amount (QAR 133) and merchant name clearly indicate this category, with high confidence."}</t>
  </si>
  <si>
    <t>Your debit card has been used for a purchase, details:
Card number: MDEBIT2 
Amount: QAR 133
Location: Talabat
Available balance: QAR 2922.83
In case the transaction is suspicious Please Call 44407711</t>
  </si>
  <si>
    <t>Anthropic</t>
  </si>
  <si>
    <t>{"timeOfDay":"afternoon","dayOfWeek":"Tuesday","isWeekend":false,"reasoning":"The merchant 'Anthropic' is known to be categorized as Bills. The transaction is a purchase for a small amount, consistent with a typical bill payment. The context and month start timing support this categorization."}</t>
  </si>
  <si>
    <t>Your debit card has been used for a purchase, details:
Card number: MDEBIT2 
Amount: USD 10
Location: ANTHROPIC
Available balance: QAR 2885.34
In case the transaction is suspicious Please Call 4440771</t>
  </si>
  <si>
    <t>FAMILY</t>
  </si>
  <si>
    <t>Family</t>
  </si>
  <si>
    <t>Family Transfers</t>
  </si>
  <si>
    <t>{"timeOfDay":"afternoon","dayOfWeek":"Tuesday","isWeekend":false,"reasoning":"The message clearly indicates a fund transfer to your account from known family names 'Afif Bou Nassif' or 'Nicole Daou'. The amount is large, typical for family transfers. Hence categorized as Family &gt; Family Transfers with high confidence."}</t>
  </si>
  <si>
    <t>There was a fund transfer to your account, Details:
Account number: CURRENT1
Amount: QAR 2000
From: AFIF BOU NASSIF OR NICOLE DAOU
Value Date: 03-02-2026
The Available Balance is: 4885.34
Thank you.</t>
  </si>
  <si>
    <t>{"timeOfDay":"afternoon","dayOfWeek":"Tuesday","isWeekend":false,"reasoning":"The transaction is a purchase at 'talabat pro,' which is a known food delivery service, categorizing it as Lifestyle &gt; Delivery with high confidence. Amount and time are consistent with food order."}</t>
  </si>
  <si>
    <t>Your credit card has been used for a purchase. Details: Card number: VISA2 Amount: QAR 35 Location: talabat pro Available balance: QAR 126.87. Keep using your QNB credit card to enjoy unique benefits.</t>
  </si>
  <si>
    <t>MIDMAC PETROL STATION</t>
  </si>
  <si>
    <t>{"timeOfDay":"afternoon","dayOfWeek":"Tuesday","isWeekend":false,"reasoning":"The transaction is a purchase at a petrol station, which fits the Essentials &gt; Transport category. The large amount aligns with fuel purchases, and the merchant is clearly a gas station."}</t>
  </si>
  <si>
    <t>Your QNB debit card has been used, below are the details:
Debit card: MDEBIT2
Amount: QAR 2000 
Location: MIDMAC PETROL STATION
Available balance: QAR 2885.34.
In case the transaction is suspicious Pl</t>
  </si>
  <si>
    <t>{"timeOfDay":"evening","dayOfWeek":"Tuesday","isWeekend":false,"reasoning":"Talabat is a well-known food delivery service, so this transaction for QAR 76 is a purchase categorized under Lifestyle &gt; Delivery with high confidence due to clear merchant identification."}</t>
  </si>
  <si>
    <t xml:space="preserve">Your credit card has been used for a purchase. 
Details: 
Card number: VISA2 
Amount: QAR 76 
Location: Talabat QFC LLC 
Available balance: QAR 50.87. 
Keep using your QNB credit card to enjoy unique </t>
  </si>
  <si>
    <t>Financial</t>
  </si>
  <si>
    <t>Transfers</t>
  </si>
  <si>
    <t>{"timeOfDay":"morning","dayOfWeek":"Wednesday","isWeekend":false,"reasoning":"The message states a fund transfer to your account from an alias starting with 'QA06', which is known as a transfer source code. The amount is moderate (QAR 200) and the transaction is incoming. Thus, it is best categorized as Financial &gt; Transfers with high confidence."}</t>
  </si>
  <si>
    <t>There was a fund transfer to your account, Details: 
Account number: CURRENT1 
Amount: QAR 200 
From Alias: QA06XXXXXXXXXXXXXXXXXXX650013 
Value Date: 04-02-2026 
The Available Balance is: QAR 2635.3</t>
  </si>
  <si>
    <t>Alias 66730211</t>
  </si>
  <si>
    <t>{"timeOfDay":"morning","dayOfWeek":"Wednesday","isWeekend":false,"reasoning":"The transaction is a fund transfer credit to the account from an alias number, indicating money received. Since the sender is an alias and unclear if family, it is categorized under Financial &gt; Transfers with medium confidence."}</t>
  </si>
  <si>
    <t>There was a fund transfer to your account, Details: 
Account number: CURRENT1 
Amount: QAR 200 
From Alias: 66730211 
Value Date: 04-02-2026 
The Available Balance is: QAR 2835.34
In case this trans</t>
  </si>
  <si>
    <t>{"timeOfDay":"morning","dayOfWeek":"Wednesday","isWeekend":false,"reasoning":"The message indicates a fund transfer to the account from alias '33413435'. This alias is known to be related to transfers. The amount is 60 QAR, which aligns with a small transfer. Since it is incoming, it fits 'Received' type under Financial &gt; Transfers with high confidence due to clear wording and known alias."}</t>
  </si>
  <si>
    <t>There was a fund transfer to your account, Details: 
Account number: CURRENT1 
Amount: QAR 60 
From Alias: 33413435 
Value Date: 04-02-2026 
The Available Balance is: QAR 2895.34
In case this transa</t>
  </si>
  <si>
    <t>Groceries</t>
  </si>
  <si>
    <t>{"timeOfDay":"afternoon","dayOfWeek":"Wednesday","isWeekend":false,"reasoning":"The transaction is a purchase at Centra Supermarkets, which is a known grocery store chain; the amount and time fit typical grocery shopping patterns, so categorizing as Essentials &gt; Groceries with high confidence."}</t>
  </si>
  <si>
    <t>Your debit card has been used for a purchase, details:
Card number: MDEBIT2 
Amount: QAR 32
Location: CENTRA SUPERMARKETS AN
Available balance: QAR 2863.34
In case the transaction is suspicious Please</t>
  </si>
  <si>
    <t>LULU EXPRESS</t>
  </si>
  <si>
    <t>{"timeOfDay":"afternoon","dayOfWeek":"Wednesday","isWeekend":false,"reasoning":"The transaction is a purchase at 'LULU EXPRESS', a known supermarket chain categorized as Groceries. The amount (~59 QAR) fits typical grocery shopping. Timing is afternoon on a weekday, consistent with grocery purchases. High confidence due to clear merchant and typical amount."}</t>
  </si>
  <si>
    <t>Your credit card has been used for a purchase. 
Details: 
Card number: VISA2 
Amount: QAR 59.08 
Location: LULU EXPRESS 
Available balance: QAR 441.79. 
Keep using your QNB credit card to enjoy unique</t>
  </si>
  <si>
    <t>Render.com</t>
  </si>
  <si>
    <t>{"timeOfDay":"afternoon","dayOfWeek":"Wednesday","isWeekend":false,"reasoning":"Render.com is known for bill payments. The transaction is a small purchase at the start of the month, consistent with paying bills. Confidence is high due to known merchant association."}</t>
  </si>
  <si>
    <t>Your credit card has been used for a purchase. Details: Card number: VISA2 Amount: USD 7 approx. Location: RENDER.COM Available balance: QAR 415.8. Keep using your QNB credit card to enjoy unique bene</t>
  </si>
  <si>
    <t>{"timeOfDay":"evening","dayOfWeek":"Wednesday","isWeekend":false,"reasoning":"Talabat is a known food delivery platform, and the transaction message explicitly mentions Talabat QFC LLC. The amount (64 QAR) fits typical delivery food order range, and evening time matches common food delivery usage. Thus, high confidence in categorizing as Lifestyle &gt; Delivery."}</t>
  </si>
  <si>
    <t xml:space="preserve">Your credit card has been used for a purchase. 
Details: 
Card number: VISA2 
Amount: QAR 64 
Location: Talabat QFC LLC 
Available balance: QAR 351.8. 
Keep using your QNB credit card to enjoy unique </t>
  </si>
  <si>
    <t>{"timeOfDay":"evening","dayOfWeek":"Wednesday","isWeekend":false,"reasoning":"Keeta is known as a delivery merchant, amount QAR 58 fits typical delivery cost, and transaction context supports dining/delivery in the evening. High confidence in categorization as Lifestyle &gt; Delivery."}</t>
  </si>
  <si>
    <t>Your credit card has been used for a purchase. 
Details: 
Card number: VISA2 
Amount: QAR 58 
Location: Keeta QFC LLC 
Available balance: QAR 293.8. 
Keep using your QNB credit card to enjoy unique be</t>
  </si>
  <si>
    <t>QA55CBQA000000461021360023001</t>
  </si>
  <si>
    <t>{"timeOfDay":"morning","dayOfWeek":"Thursday","isWeekend":false,"reasoning":"The SMS indicates a fund transfer received into the account. The sender is represented by an alias not clearly a family member, so categorized as Financial &gt; Transfers with medium confidence. The amount is moderate, and the timing at morning/start of month hints no specific family or salary pattern."}</t>
  </si>
  <si>
    <t>There was a fund transfer to your account, Details: 
Account number: CURRENT1 
Amount: QAR 200 
From Alias: QA55CBQA000000461021360023001 
Value Date: 05-02-2026 
The Available Balance is: QAR 3063.6</t>
  </si>
  <si>
    <t>{"timeOfDay":"afternoon","dayOfWeek":"Thursday","isWeekend":false,"reasoning":"The transaction is an incoming fund transfer from alias '31645649', which is known to signify transfer activity. The amount and description clearly indicate a received fund transfer, categorized under Financial &gt; Transfers with high confidence."}</t>
  </si>
  <si>
    <t>There was a fund transfer to your account, Details: 
Account number: CURRENT1 
Amount: QAR 200 
From Alias: 31645649 
Value Date: 05-02-2026 
The Available Balance is: QAR 3265
In case this transact</t>
  </si>
  <si>
    <t>{"timeOfDay":"afternoon","dayOfWeek":"Thursday","isWeekend":false,"reasoning":"This is an incoming fund transfer to the account. The sender alias is a number (66524480) which appears to be a non-personal alias, so category is Financial &gt; Transfers with medium confidence as no family name is given."}</t>
  </si>
  <si>
    <t>There was a fund transfer to your account, Details: 
Account number: CURRENT1 
Amount: QAR 200 
From Alias: 66524480 
Value Date: 05-02-2026 
The Available Balance is: QAR 3465
In case this transact</t>
  </si>
  <si>
    <t>QA89CBQA000000004610581137101</t>
  </si>
  <si>
    <t>{"timeOfDay":"afternoon","dayOfWeek":"Thursday","isWeekend":false,"reasoning":"The transaction is an incoming fund transfer to the account from an alias that doesn't indicate a family member. Since it is a credit (IN) and likely not salary, it is categorized under Financial &gt; Transfers with medium confidence due to lack of identifiable counterparty information."}</t>
  </si>
  <si>
    <t xml:space="preserve">There was a fund transfer to your account, Details: 
Account number: CURRENT1 
Amount: QAR 350 
From Alias: QA89CBQA000000004610581137101 
Value Date: 05-02-2026 
The Available Balance is: QAR 3815
</t>
  </si>
  <si>
    <t>Other</t>
  </si>
  <si>
    <t>{"timeOfDay":"evening","dayOfWeek":"Thursday","isWeekend":false,"reasoning":"SMS indicates a debit card purchase. Merchant 'Bawwabat Al Shamal' is a known merchant typically categorized as Other. Although the amount is large, the transaction text and merchant name point to a purchase rather than a transfer or fee."}</t>
  </si>
  <si>
    <t>Your debit card has been used for a purchase, details:
Card number: MDEBIT2 
Amount: QAR 2410
Location: Bawwabat Al Shamal 2
Available balance: QAR 1405
In case the transaction is suspicious Please Ca</t>
  </si>
  <si>
    <t>{"timeOfDay":"evening","dayOfWeek":"Thursday","isWeekend":false,"reasoning":"WOQOD is a known Qatari fuel and gas station brand, clearly fitting the Transport subcategory under Essentials. The amount of 50 QAR supports a typical fuel purchase. Evening timing and start of month do not contradict this classification."}</t>
  </si>
  <si>
    <t xml:space="preserve">Your credit card has been used for a purchase. 
Details: 
Card number: VISA2 
Amount: QAR 50 
Location: WOQOD - AL EGLA (LUSAI 
Available balance: QAR 243.8. 
Keep using your QNB credit card to enjoy </t>
  </si>
  <si>
    <t>MOI MAIN APPLE PAY</t>
  </si>
  <si>
    <t>{"timeOfDay":"evening","dayOfWeek":"Thursday","isWeekend":false,"reasoning":"Small amount (QAR 10) typical for coffee or small dining purchase; evening time suggests discretionary spending; 'MOI MAIN APPLE PAY' likely a merchant location using Apple Pay, possibly a cafe or small food outlet. Categorized as Lifestyle &gt; Dining with medium confidence due to merchant name ambiguity."}</t>
  </si>
  <si>
    <t>Your credit card has been used for a purchase. 
Details: 
Card number: VISA2 
Amount: QAR 10 
Location: MOI MAIN APPLE PAY 
Available balance: QAR 233.8. 
Keep using your QNB credit card to enjoy uniq</t>
  </si>
  <si>
    <t>THE HIGHMORE</t>
  </si>
  <si>
    <t>{"timeOfDay":"night","dayOfWeek":"Thursday","isWeekend":false,"reasoning":"The merchant name THE HIGHMORE suggests a bar or hotel; amount (330 QAR) fits a dining or nightlife expense. The transaction time (night) supports a bars &amp; hotels category. Thus classified as Lifestyle &gt; Bars &amp; Hotels with medium confidence."}</t>
  </si>
  <si>
    <t>Your debit card has been used for a purchase, details:
Card number: MDEBIT2 
Amount: QAR 330
Location: THE HIGHMORE
Available balance: QAR 1075
In case the transaction is suspicious Please Call 444077</t>
  </si>
  <si>
    <t>{"timeOfDay":"afternoon","dayOfWeek":"Friday","isWeekend":true,"reasoning":"The merchant 'ANTHROPIC' is commonly categorized as Bills; the transaction is a small amount spent on a weekend afternoon, which aligns with bill payments rather than discretionary spending. Hence, categorized as Essentials &gt; Bills with medium confidence due to some ambiguity in merchant recognition."}</t>
  </si>
  <si>
    <t>Your debit card has been used for a purchase, details:
Card number: MDEBIT2 
Amount: USD 10.19
Location: ANTHROPIC
Available balance: QAR 1036.8
In case the transaction is suspicious Please Call 44407</t>
  </si>
  <si>
    <t>{"timeOfDay":"afternoon","dayOfWeek":"Friday","isWeekend":true,"reasoning":"The merchant 'Anthropic' matches a known bills merchant. Although the amount is small and time is afternoon on a weekend, the merchant name strongly indicates a bills payment rather than discretionary spending. Hence, categorized as Essentials &gt; Bills with high confidence."}</t>
  </si>
  <si>
    <t>Your debit card has been used for a purchase, details:
Card number: MDEBIT2 
Amount: USD 10.88
Location: ANTHROPIC
Available balance: QAR 996.02
In case the transaction is suspicious Please Call 44407</t>
  </si>
  <si>
    <t>{"timeOfDay":"afternoon","dayOfWeek":"Friday","isWeekend":true,"reasoning":"Merchant 'Claude' is known to be categorized as Bills, indicating a subscription payment which is a recurring essential expense. The amount suggests a subscription or service fee, fitting the Essentials &gt; Bills subcategory with high confidence."}</t>
  </si>
  <si>
    <t>Your debit card has been used for a purchase, details:
Card number: MDEBIT2 
Amount: USD 163.57
Location: CLAUDE.AI SUBSCRIPTION
Available balance: QAR 382.77
In case the transaction is suspicious Ple</t>
  </si>
  <si>
    <t>Date</t>
  </si>
  <si>
    <t>Insights</t>
  </si>
  <si>
    <t>2026-01-30T22:25:35.416Z</t>
  </si>
  <si>
    <t>## 1. Executive Summary (Last 30 Days)
**Income (visible in this data)**  
- Salary: **18,000 QAR** (Jan 28)  
- Other incoming transfers: **~3,922 QAR** (various people / accounts)  
  - Total inflows: **~21,922 QAR**
**Outflows (spend + transfers out)**  
- Total card/debit **outflows (excluding FX conversion to QAR)**: ≈ **~22,500–23,500 QAR**  
  - This month includes **several big one-offs** (hotels, shopping, IKEA, large cash transfers to Afif, etc.)  
  - Net: you roughly **spent/transferred about your full salary** this month.
**High-level health indicators (based only on this account view)**  
- Savings rate this month from salary alone: **~0% (possibly slightly negative)**  
- Spending is **heavily front‑loaded and lumpy** around:
  - Jan 1–2 (shopping + hotels + bar)  
  - Jan 28–31 (IKEA, restaurants, G2A, large transfers to Afif)  
- Three categories dominate:
  1. **Eating out + delivery (Talabat, Keeta, Pain Au Cafe, restaurants)** – very frequent
  2. **Transfers to Afif Bou Nassif** – **~7,027 QAR** in 3 days
  3. **One-off retail / home** – **IKEA 1,791 QAR**, **Bawwabat Al Shamal 2,410 QAR**, **Abercrombie &amp; Fitch 429 QAR**, **G2A ~two large FX payments**
**Main takeaway:**  
This looks like an **unusually heavy month** with:  
- significant **home / setup / shopping** costs  
- **high lifestyle/entertainment spend**  
- **large intra-family transfer(s)**  
All together, they erase your ability to save from this month’s salary.
---
## 2. Spending Patterns &amp; Trends
### A. Weekday vs Weekend
Based on timestamps, pattern is:
- **Weekdays (Sun–Thu in Qatar)**  
  - Regular spending on:
    - **Talabat QFC LLC / Keeta QFC LLC / Pain Au Cafe Shop** (food &amp; coffee)  
    - **Uber** rides  
    - Telco: **Ooredoo CC Top Up / Ooredoo QPSC, 309 QAR broadband**  
  - These are **consistent and predictable**.
- **Weekends (Fri–Sat)**  
  - Spikes in:
    - **Restaurants &amp; nightlife**:
      - Champions Sports Bar (290 QAR) – Jan 2
      - The Barn Restaurant (480 + 255 = 735 QAR) – Jan 30
      - St Regis Doha (135 QAR) – Jan 30
      - Mr Taco (160 QAR) – Jan 28 early morning
    - **Shopping / gaming**:
      - G2A.com (79 EUR + 104.25 EUR)
      - Abercrombie &amp; Fitch (429 QAR)
      - PAYPAL *GAMER2GAMER (54.9 QAR)
      - IKEA (1,791 QAR)
**Conclusion:**  
Your **biggest, least-controlled spikes** are **weekend or near-weekend** restaurant/entertainment + shopping.
---
### B. Time-of-Day
- **Morning (6:00–10:00)**  
  - **Pain Au Cafe Shop** (27–79 QAR per visit)  
  - Some Talabat / Keeta orders  
  - Regular pattern = **breakfast/coffee habit.**
- **Work hours (10:00–18:00)**  
  - Keeta, Talabat, small supermarkets  
  - Uber rides  
  - This looks like **workday meals + commuting**.
- **Evening (18:00–23:00)**  
  - Large restaurant spends, hotels check-in, retail, Talabat  
  - Many **Uber** charges from mid-evening into late night.  
  - G2A, gaming services, PayPal digital spend.
- **Late night (after 23:00)**  
  - Bars (Champions), hotel spends (check-ins/payments), G2A, some Talabat orders.  
  - This is where **cost per transaction jumps**.
**Conclusion:**  
You’re generally **spending the most per transaction in evenings / late nights**, especially on weekends.
---
### C. Category Concentration
Approximate categorisation:
1. **Food &amp; Beverage (dominant)**  
   - **Talabat QFC LLC &amp; Talabat**: frequent (dozens of transactions, from 25 QAR to 158.25 QAR)  
   - **Keeta / Keeta QFC LLC**: very frequent (20–113.5 QAR range)  
   - **Pain Au Cafe Shop**: repeated breakfast/coffee (27–79 QAR)  
   - Restaurants &amp; bars:
     - The Barn Restaurant: **735 QAR** (480 + 255)  
     - Champions Sports Bar: **290 QAR**  
     - Mr Taco: **160 QAR**  
     - Andaz Doha (multiple charges: 260 + 85 = **345 QAR**)  
     - St Regis Doha: **135 QAR**  
   - Supermarkets:
     - Centra (17.5 + 48 QAR)  
     - Zahra Grand Fresh (33 QAR)  
     - Zekreet Supermarket (49 QAR)
   **Observation:**  
   - You rely **heavily on delivery and cafés/restaurants**, not cheap home cooking.  
   - Food &amp; beverage is likely **your single largest controllable category**.
2. **Transport**  
   - **Uber / UBR* PENDING**: many small charges between ~5–32 QAR each.  
   - Petrol: **WOQOD / University Petrol**: 50 + 61 + 40 QAR = **151 QAR** total fuel.  
   - Overall, ride-hailing + fuel = **moderate but very frequent**.
3. **Housing / Utilities / Comms**  
   - **Ooredoo QPSC 309 QAR** – your **monthly home broadband**  
   - Ooredoo CC top up / QPSC: 40 + 65 + 5 = **110 QAR** (mobile / other lines)  
   - Total telco this month ≈ **419 QAR+**
4. **Hotels / Travel-like**  
   - Dusit Hotel &amp; Suites: **885 + 505 + 130 = 1,520 QAR**  
   - Sedra Arjaan by Rotana: **340 QAR**  
   - Andaz Doha: **345 QAR**  
   - These look like **staycations / trips / guests** rather than necessities.
5. **Shopping / Home**  
   - **IKEA Qatar: 1,791 QAR**  
   - **Bawwabat Al Shamal: 2,410 QAR**  
   - **Emerald Isle Trading: 550 + 112 + 100.8 = 762.8 QAR**  
   - **Falcon Trading Center: 193 QAR**
   This month includes **major home / shopping spends** – likely not recurring.
6. **Digital / Subscriptions / Software / Gaming**  
   - Subscriptions (see section 4).  
   - G2A.com (79 EUR + 104.25 EUR) – big gaming-related purchases.  
   - PAYPAL *GITHUB, BATTLE.NET, GAMER2GAMER, etc.
7. **Healthcare**  
   - Marble Plus Medical Center: 50 + 107.2 + 50 + 5.5 QAR = **212.7 QAR**  
   - Medicom Pharmacy: 22 QAR
8. **Family / Personal Transfers**  
   - **Afif Bou Nassif**: 4,000 + 1,500 + 1,527 = **7,027 QAR**  
   - **Samer Bou Nassif**: 250 QAR  
   These are **the single largest “category” this month** after shopping/home.
---
## 3. Anomaly Detection
### A. One-time large purchases / spikes
- **IKEA Qatar – 1,791 QAR** (Jan 31)  
  - Large one-off; likely home furniture/organization.
- **Bawwabat Al Shamal – 2,410 QAR** (Jan 1)  
  - Big retail spend; significant for a single transaction.
- **Dusit Hotel &amp; Suites – 885 + 505 + 130 = 1,520 QAR** (Jan 2 &amp; 29)  
- **Sedra Arjaan by Rotana – 340 QAR** (Jan 20)  
- **Andaz Doha – 345 QAR** (Jan 26)  
  - Collectively **&gt; 2,200 QAR** on hotels; not normal “baseline” spending.
- **The Barn Restaurant – 735 QAR** on one day (Jan 30)  
- **Champions Sports Bar – 290 QAR** (Jan 2)
- **G2A.com – 79 EUR + 104.25 EUR**  
  - Two sizable non-QAR gaming/digital purchases close together. Worth confirming they were intentional.
### B. Unusual merchant activity vs baseline
- **Afif Bou Nassif transfers – 7,027 QAR in three transactions over three days**  
  - 4,000 (Jan 28), 1,500 (Jan 28), 1,527 (Jan 30).  
  - Very lumpy; important to know: Are these:
    - Loan repayments?
    - Family support?
    - Temporary holding account?
  - Either way, they **dominate** cash outflow this month.
- **Emerald Isle Trading (3 payments in one day: 550, 112, 100.8 QAR)**  
  - Multiple same-day charges; check receipts to confirm no accidental duplication.
- **Multiple hotels in one month** (Dusit x3, Sedra, Andaz)  
  - If this isn’t your usual pattern, assume **this month is “special”, not a baseline**.
- **Stacked Uber micro-charges on Jan 30**  
  - Many small Uber charges in a single day (7.95, 31.94, 5.94, 12.99, 39.93, 24.96, 1.15, 30.93 QAR).  
  - Could be:
    - Several rides; or
    - Pre-authorizations and final charges.  
  - Worth quickly checking the Uber app to ensure no billing error.
---
## 4. Recurring Payments Audit
### A. Detected Subscriptions / Recurring-like
**Telecom / Internet**
1. **Ooredoo QPSC – 309 QAR**  
   - Your **monthly home broadband bill**.
2. **Ooredoo CC Top Up – 40 QAR**  
3. **Ooredoo QPSC 3 – 65 QAR**  
4. **Ooredoo QPSC – 5 QAR**  
   - Likely **mobile or additional line** top-ups. Not all will recur every month at the same value, but expect **~100–150 QAR/month** here.
**Software / Productivity / Cloud**
5. **Google Workspace – 33.6 USD** (Jan 1)  
6. **Medium Monthly – 5 USD**  
7. **Render.com – 7 USD + 1 USD** (likely hosting tiers/add-ons)  
8. **GitHub – 53.18 QAR via PayPal**  
9. **GAMMA.APP – 25 USD**  
10. **Claude.ai Subscription – 91.73 USD + 10 USD Anthropic top-up**  
11. **OpenAI – 15 USD**  
12. Additional Anthropic payments – 5 USD, 10 USD (usage-based)
**Gaming / Entertainment**
13. **PAYPAL *BATTLE.NET – 47.49 QAR**  
14. **PAYPAL *GAMER2GAMER – 54.9 QAR**  
15. **G2A.COM – 79 EUR + 104.25 EUR** (likely not monthly but could repeat if pattern continues)
**Food Delivery Subscriptions**
16. **Talabat Pro – 35 QAR** (Jan 3) – subscription.
**Rough monthly recurring estimate**  
- Telco (broadband + mobile): **~420–460 QAR**  
- SaaS / tools / AI / cloud / workspace (converting USD/EUR roughly): **~800–1,100 QAR/month** depending on how much of the AI spend is recurring vs usage.  
- Food subscription (Talabat Pro): **35 QAR**  
- Gaming (if repeated monthly): **~200+ QAR**
So total **“subscription-like” baseline** is likely in the **1,300–1,600 QAR/month** range, before any actual variable usage.
### B. Potential duplicates / “forgotten” subs
- **AI / productivity stack overlap:**
  - Google Workspace, Medium, GitHub, Render.com, Gamma.app, Claude.ai, OpenAI, Anthropic credit payments.  
  - It’s very possible you **don’t need all of these every month at current levels** or could move some to lower tiers.
- **Multiple AI providers (Anthropic, OpenAI, Claude.ai subscription) with usage-based plus subscription fees**  
  - If you mostly use one in practice, you can **downgrade or cancel** the others.
- **Gaming platforms: Battle.net, Gamer2Gamer, G2A**  
  - Not technically subscriptions, but if you’re making multiple purchases monthly, it behaves like a recurring hobby cost.
---
## 5. Actionable Recommendations
### Priority Key
- 🔴 **High impact / Quick win**
- 🟠 **Medium**
- 🟡 **Longer-term / nice-to-have**
---
### 1) Put a hard cap on weekly food delivery &amp; eating out 🔴
**Why:** Talabat, Keeta, Pain Au Cafe, restaurants &amp; bars are clearly your largest controllable category.
**Concrete move:**
- Set a **weekly cap**, e.g. **600 QAR/week** for:
  - Talabat  
  - Keeta  
  - Restaurants &amp; cafés (including The Barn, Pain Au Cafe, etc.)
- That’s **~2,400 QAR/month ceiling** on eating out.
**Estimated savings:**
- This month’s pattern suggests you’re **well above that** (likely 3,500–4,500 QAR).  
- Cutting 1,000 QAR/month = **12,000 QAR/year** saved without touching core utilities or income tools.
**How to implement fast:**
- Use your banking app to set:
  - **Alert at 500 QAR/week** on MCC/merchant name “Talabat”, “Keeta”, “Pain Au Cafe” etc.  
- Decide in advance: **max 2–3 delivery orders per week**; rest = cook or supermarket.
---
### 2) Rationalize your AI / SaaS / developer tool stack 🔴
**Why:** Google Workspace, Medium, GitHub, Render, Gamma, Claude.ai subscription, OpenAI, Anthropic usage – there’s likely **overlap**.
**Action steps:**
1. **List monthly tools** and ask:
   - Do I use this **weekly**?
   - Is there a **cheaper tier**?
2. Likely quick trims:
   - If you mostly use one AI provider daily (say Claude), **downgrade OpenAI usage, Anthropic extra top-ups**, or vice-versa.
   - Consider if **Gamma.app** is essential monthly or can be paused/cancelled.
   - Review Render: can you move to a smaller instance or shut down unused services?
**Estimated savings:**
- Trimming even **30–40%** of that stack can free **300–500 QAR/month**.
---
### 3) Put G2A + gaming spend on a fixed monthly “fun” budget 🟠
**Why:** Two large G2A transactions (79 EUR + 104.25 EUR) plus Battle.net and Gamer2gamer – these behave like a **stealth subscription**.
**Concrete move:**
- Create a **“Gaming / Digital fun” envelope**: e.g. **250–300 QAR/month**.
- When that’s hit, **no more gaming purchases that month**.
**Estimated savings:**
- This month you’ve spent the equivalent of **700–900+ QAR** on gaming-related items.  
- A 300 QAR cap saves **~400–600 QAR/month** versus this month’s behaviour.
---
### 4) Clarify and systematize family transfers to Afif/Samer 🔴
**Why:** 7,027 QAR to Afif + 250 QAR to Samer **in one month** is large and lumpy.
**Actions:**
- Decide if this is:
  - A **one-off repayment** – then note it and don’t treat it as monthly.
  - Ongoing **support** – then turn it into a **fixed monthly allowance** (e.g. 1,500–2,000 QAR) so it’s built into your budget, not ad-hoc.
**Estimated savings:**
- If this was one-off, **no ongoing issue**.  
- If recurring, smoothing to a lower fixed amount could save **2,000–3,000 QAR** in any heavy month like this.
---
### 5) Make big home / retail spending (IKEA, Bawwabat, Emerald Isle) planned, not opportunistic 🟠
These are large one-offs, but they add up:
- IKEA: 1,791 QAR  
- Bawwabat: 2,410 QAR  
- Emerald Isle Trading: 762.8 QAR  
- Falcon Trading: 193 QAR  
**Action:**
- Decide an annual **home &amp; shopping budget** (ex: **6,000 QAR/year**).  
- That’s **500 QAR/month** on average. Any big purchase:
  - Check: does it blow through this year’s allocation?
  - If yes, delay or split across months.
**Estimated savings:**
- If you were to repeat this pattern, you’d be on pace for **&gt;20,000 QAR/year** in home/shopping.  
- Capping it at 6–8k/year saves **12,000+ QAR/year**.
---
### 6) Tame weekend restaurant/bar spikes 🔴
**Why:** The Barn (735 QAR one day), Champions Sports Bar (290 QAR), Mr Taco, Andaz/Andaz dining – weekend hospitality is expensive.
**Action:**
- Set **per-outing limits**:
  - e.g. cap **any single restaurant bill** you personally pay at **300–350 QAR** unless it’s a truly special event.
- If inviting friends, consider **splitting bills** more consistently instead of covering everything.
**Estimated savings:**
- With your current pattern, tightening weekend restaurants could easily save **500–800 QAR/month**.
---
### 7) Check Uber spending &amp; consider alternatives 🟡
**Why:** Many small Uber transactions, especially Jan 30. That day alone has **8–9 separate charges**.
**Actions:**
- Review Uber history for:
  - Duplicated trips  
  - Cancelled rides still charged  
- Consider:
  - For short, regular routes, **public transport / occasional petrol** might be cheaper.
  - Set an informal rule: if ride &gt; X QAR and not urgent, seek alternative.
**Estimated savings:**
- Even a modest **25% reduction** in Uber use could save **100–200 QAR/month**, and you avoid surprise clusters like Jan 30.
---
### 8) Automate a minimum monthly savings transfer 🟡
**Why:** This month, heavy discretionary/one-off spend consumed the whole salary.
**Action:**
- On salary day (e.g., day after **18,000 QAR salary** hits), auto-transfer:
  - **10% (1,800 QAR)** to savings/investment.  
- Treat it as non-negotiable; discretionary spend adjusts around that.
**Impact:**
- Even **1,800 QAR/month** builds to **21,600 QAR/year**, creating a buffer for months like this.
---
## 6. Forward Look – Next Month
### A. Predicted Baseline Expenses (if behaviour unchanged)
Excluding this month’s unusual one-offs:
1. **Fixed / Semi-Fixed**
   - Home broadband: **309 QAR**
   - Mobile &amp; top-ups: **~100–150 QAR**
   - Subscriptions / SaaS / AI tools: **800–1,100 QAR**
   - Talabat Pro: **35 QAR**
   - Healthcare (average): **~200 QAR** (if recurring at similar pace)
   - Fuel (WOQOD + University Petrol): **~150 QAR**
   → **Baseline fixed-ish = ~1,600–1,900 QAR**
2. **Variable, but baseline from patterns**
   - Food &amp; cafés (Talabat, Keeta, Pain Au Cafe, restaurants but excluding huge weekends):  
     Likely **2,500–3,000 QAR** if you don’t change behaviour.
   - Uber &amp; small transport: **300–500 QAR**
   - Modest shopping / miscellaneous: **500–1,000 QAR** (assuming no IKEA/Bawwabat-scale purchases)
   → **Variable baseline = ~3,300–4,500 QAR**
**Total “normal” month prediction (without large one-offs):**  
**~5,000–6,400 QAR** vs your **18,000 QAR salary**, leaving **significant room for saving** if you avoid repeating the large hotels, family transfers at this scale, and mega-shopping.
### B. Potential Budget Pressure Points Next Month
1. **Any repeated large family transfer to Afif**  
   - If this continues &gt;3,000 QAR/month, it becomes your **single largest recurring outflow**.
2. **Another big home purchase (IKEA-level)**  
   - Doing that again next month would significantly cut into potential savings.
3. **Uncontrolled weekend outings**  
   - A single weekend like Jan 30 (Barn 735 QAR + Uber cluster + St Regis 135 QAR + G2A) can burn **1,200–2,000 QAR** fast.
4. **AI / SaaS spillover**  
   - If you ramp usage-based AI spend without monitoring, monthly digital/tool costs can exceed 1,200 QAR.
---
### Final Focus for the Coming Month
If you want a simple, actionable focus:
1. **Cap food &amp; eating out at 600 QAR/week.**  
2. **Trim at least 300–500 QAR from your AI/SaaS stack by downgrading/cancelling underused tools.**  
3. **No unplanned purchases over 1,000 QAR (furniture, clothing, gaming) without waiting 48 hours.**  
4. **Auto-save 10% (1,800 QAR) on salary day.**
Follow just these four and you can realistically move from **0% savings this month** to **20–30% of salary saved** next month, given your baseline costs.</t>
  </si>
  <si>
    <t>2026-02-04T11:02:08.150Z</t>
  </si>
  <si>
    <t>## 1. Executive Summary
**Period covered:** Last ~30 days (end Jan–early Feb 2026)  
**Income detected:**
- Salary: **18,000 QAR**
- Other incoming transfers (rebates/repayments/family): **≈4,137 QAR**
**Total cash inflow:** ≈**22,137 QAR**
**Estimated spending (card &amp; transfers out):** ≈**18,000–19,000 QAR**  
(Heavy, but broadly in line with salary; detailed breakdown below.)
### High‑level health indicators
- **Savings rate this month:** Likely **low single digits** or close to **0%** after accounting for several large discretionary spends and high fixed bills.
- **Top 3 spending buckets (approx.):**
  1. **Housing / Afif Bou Nassif transfers** (likely rent + QDC / family): **~7,300 QAR**
  2. **Discretionary shopping &amp; big one‑offs (IKEA, Abercrombie, TAP, G2A)**: **~3,500–4,000 QAR**
  3. **Food &amp; Dining (Talabat, Keeta, Pain Au Cafe, Restaurants/Hotels)**: **~3,000+ QAR**
- **Subscriptions &amp; SaaS (recurring bills):** Equivalent of **~1,200–1,400 QAR/month**, heavily skewed to AI tools / workspace / entertainment.
Overall: Cash flow is **covered by income**, but **discretionary and subscription spending are high** enough that they’re crowding out savings. You can improve your financial position materially without lifestyle pain by trimming specific categories.
---
## 2. Spending Patterns &amp; Trends
### 2.1 Day-of-week patterns
You spend **every day**, but the *pattern* is:
- **Weekdays (Sun–Thu)**  
  - Frequent **Talabat** and **Keeta** orders (Delivery/Groceries) usually **20–160 QAR** each.
  - Regular **Uber** rides (~**9–32 QAR** per trip).
  - **Pain Au Cafe Shop** in the mornings (**27–79 QAR**).
  - Smaller petrol fills at **WOQOD** and **UNIVERSITY/MIDMAC petrol stations** (typical top-ups **40–61 QAR**, plus one very large: **2,000 QAR @ MIDMAC PETROL STATION**).
  - Work‑related / utility top-ups (e.g., **Ooredoo CC Top Up 40 QAR**).
- **Weekends (Fri–Sat)**  
  - Noticeable **spikes**:
    - **Bars &amp; Hotels / restaurants**:  
      - **480 QAR** + **255 QAR @ THE BARN RESTAURANT** (same day)  
      - **135 QAR @ ST REGIS DOHA**  
      - **260 + 85 QAR @ ANDAZ DOHA**  
      - **340 QAR @ SEDRA ARJAAN BY ROTANA**  
      - **300 QAR @ LE ROYAL MERIDIEN**
    - Higher‑value **shopping / digital** spends:  
      - **104.25 EUR &amp; 79 EUR @ G2A.COM**  
      - **339 QAR + 429 QAR @ Abercrombie &amp; Fitch**
**Conclusion:**  
- Weekdays = **routine food/transport plus SaaS**.  
- Weekends = **high‑ticket dining, hotels and shopping**.
### 2.2 Time-of-day patterns
- **Morning (6–10 AM)**  
  - **Pain Au Cafe Shop** (27–79 QAR) – breakfast/coffee routine.
  - Occasional early Uber rides (work commute): **~8–21 QAR**.
  - IKEA on Sat morning (**1,791 QAR @ 04:05** – likely online / very early charge posting time).
- **Daytime (10 AM–6 PM)**  
  - Mixed online subscriptions (Anthropic, OpenAI, Gamma, Google Workspace, etc.).
  - Keeta + Talabat orders during work hours (lunch or groceries).
  - Petrol, errands, and some shopping.
- **Evening / Late night (6 PM–2 AM)**  
  - **Bars &amp; Hotels** and restaurants dominate (The Barn, Le Royal Méridien, St Regis, Andaz, Sedra Arjaan, Dusit Hotel).
  - **Gaming / digital purchases** (G2A, Battle.net, Gamer2Gamer, PayPal GitHub).
  - Multiple Uber trips linked to nights out.
**Conclusion:**  
A lot of **discretionary overspend happens late evening and on weekends**.
### 2.3 Category concentration
Rough categorization and approximate totals:
1. **Housing / Afif Bou Nassif transfers**  
   - 4,000 QAR + 1,500 QAR + 1,527 QAR + 500 + 500 + 2,000 inbound/outbound mix. Outflows to Afif ≈ **7,027 QAR** this month.  
   - User history suggests: Afif transactions can be **rent and/or QDC (liquor) / family transfers**. Given the amounts and clustering after salary, I’d treat **~4,000–5,500 QAR as rent** and the rest as either QDC/family support.
2. **Food &amp; Dining (incl. delivery &amp; coffee):**  
   - **Talabat QFC LLC &amp; Talabat**: multiple charges **25–193 QAR**. Rough sum: **~1,200–1,500 QAR**.  
   - **Keeta QFC LLC / Keeta**: many small to mid charges **20–113 QAR**. Rough sum: **~700–900 QAR**.  
   - **Pain Au Cafe Shop/Sho**: **~27 + 47 + 47 + 79 + 74… ≈ 250–300 QAR+**.  
   - Restaurants / Hotels: **MR TACO (160 QAR), THE BARN (735 QAR total), SEDRA ARJAAN (340 QAR), DUSIT (130 QAR), Le Royal Méridien (300 QAR), St Regis (135 QAR), Andaz (260 + 85 QAR)** → **~2,145 QAR**.
   - **Overall food/dining (incl. delivery &amp; coffee &amp; restaurants): easily ~3,000–3,500 QAR.**
3. **Transport (Uber + Petrol):**  
   - Uber / UBR* PENDING across the month: many charges **~8–32 QAR**. Aggregate ≈ **350–450 QAR**.  
   - Petrol:  
     - Regular: **WOQOD ONAIZA 50 QAR, WOQOD LEBSAYYER 61 QAR, UNIVERSITY PETROL 40 QAR**  
     - Big: **2,000 QAR @ MIDMAC PETROL STATION**  
     → Total petrol ≈ **2,151 QAR** this period.
4. **Subscriptions / SaaS / Media:**
   - **OpenAI**: 15 USD (Jan 9) + 60 USD (Jan 31) ≈ **75 USD (~275 QAR)**.
   - **Anthropic**: 5 + 10 USD (Jan 9) + 10 USD (Jan 17) + 10 USD (Feb 3) = **35 USD (~129 QAR)**.
   - **Claude.ai subscription**: 91.73 USD (~**335 QAR**).
   - **Gamma.app**: 25 USD (~**91 QAR**).
   - **Medium**: 5 USD (~**18 QAR**).
   - **Render.com**: 1 + 7 USD (~**30 QAR**).
   - **Google Workspace**: 112.43 USD (~**410 QAR**).
   - **GitHub (via PayPal)**: 53.18 QAR.
   - **Total recurring-ish digital tools:** ≈**1,350–1,450 QAR** this month.
5. **Shopping / One‑off goods:**
   - **IKEA QATAR**: 1,791 QAR.
   - **ABERCROMBIE AND FITCH / Abercrombie &amp; Fitch**: 429 + 339 = **768 QAR**.
   - **TAP PAYMENTS**: 1,249 QAR.
   - **G2A.COM**: 79 EUR + 104.25 EUR (~**700–750 QAR** combined, depending on FX).  
   - **Battle.net**: 47.49 QAR.  
   - **GAMER2GAMER (PayPal)**: 54.9 QAR.  
   - **Falcon Trading Center**: 193 QAR.  
   - This cluster ≈**4,800–5,000 QAR** in mostly discretionary purchases.
6. **Utilities / Telecom:**
   - **Ooredoo QPSC 3**: 65 QAR + 5 QAR.  
   - **Ooredoo CC Top Up**: 40 QAR.  
   - **Ooredoo QPSC**: **309 QAR – your monthly home broadband bill (NOT a splurge).**  
   - Total Ooredoo/telecom: **~419 QAR** (plus small recharge).
---
## 3. Anomaly Detection
### 3.1 One‑time large purchases &amp; spikes
These stand out versus your usual transaction sizes:
1. **IKEA QATAR – 1,791 QAR (Jan 31)**  
   - High, likely furniture/household. Probably **non‑recurring / setup** cost.
2. **TAP PAYMENTS – 1,249 QAR (Feb 1)**  
   - Large; could be electronics, course, or larger online purchase.
3. **MIDMAC PETROL STATION – 2,000 QAR (Feb 3)**  
   - Much larger than typical 40–61 QAR petrol fills.  
   - Possibly: full tank on a larger vehicle, prepaid fuel card, or even non‑fuel transaction. Worth double-checking.
4. **G2A.COM – 79 EUR + 104.25 EUR (Jan 28 &amp; Jan 30)**  
   - Combined ~700–750 QAR on digital/gaming keys in a short window.  
   - If intentional (e.g., multiple game licenses), fine; otherwise check for unwanted purchases.
5. **Abercrombie &amp; Fitch – 429 QAR + 339 QAR**  
   - ~768 QAR on clothing in 2 days. Could be planned wardrobe refresh; still a spike.
6. **Afif Bou Nassif transfers**  
   - **4,000 + 1,500 + 1,527 QAR** in quick succession after salary.  
   - Pattern fits **rent plus additional family/QDC-type transfers**, but total outflow is high; confirm what each is for.
7. **THE BARN RESTAURANT – 480 QAR + 255 QAR (same day)**  
   - **735 QAR in one venue** in a single morning/day is high for dining/bar.
### 3.2 Unusual merchant activity
- **Multiple hotel/bars in the same period**: Andaz Doha, Sedra Arjaan, Dusit, St Regis, Le Royal Méridien, The Barn. Overall this looks like a **social/nightlife‑heavy month** rather than fraud.
- **Repeated small UBER *PENDING** amounts (1–32 QAR):  
  - These are consistent with your normal behavior (rides + adjustments); no single suspicious charge, but the **volume and frequency** are high.
Nothing screams fraud; anomalies are mostly **large but plausible lifestyle choices**. The only merchant I’d *actively* review for accuracy:  
- **G2A.COM**,  
- The **2,000 QAR @ MIDMAC PETROL**, and  
- Whether all **Afif** transfers are intentional for this month.
---
## 4. Recurring Payments Audit
### 4.1 Detected subscriptions (monthly or close to monthly cadence)
**AI / Productivity / Dev tools**
1. **OpenAI – 60 USD ChatGPT Subscr (Bills)**  
   - Amount: **60 USD (~220 QAR)** on Jan 31.  
   - Plus other OpenAI charges: 15 USD earlier in month (may be usage-based).  
   - Estimated monthly: **~275 QAR** (60 + 15 USD).
2. **Anthropic (Claude)**  
   - 5 + 10 USD on Jan 9, 10 USD on Jan 17, 10 USD on Feb 3 → **35 USD (~129 QAR)** across month.  
   - **Claude.ai Subscription – 91.73 USD (~335 QAR)** on Jan 17.  
   - Combined Anthropic/Claude: **~464 QAR/month**.
3. **Gamma.app – 25 USD (~91 QAR)**  
   - Likely monthly.
4. **Google Workspace – 112.43 USD (~410 QAR)**  
   - Clear monthly SaaS.
5. **Medium Monthly – 5 USD (~18 QAR)**  
   - Monthly content subscription.
6. **Render.com – 7 USD + 1 USD (~30 QAR)**  
   - Cloud hosting / services; likely monthly baseline.
7. **GitHub – 53.18 QAR**  
   - Via PayPal; likely a monthly dev subscription.
**Digital Media / Gaming**
8. **Battle.net – 47.49 QAR**  
   - Could be one‑off or recurring (in‑game purchase or subscription).
9. **G2A.COM – 79 EUR + 104.25 EUR**  
   - Likely **one‑off** (keys), but total is large.
**Telecom / Utilities**
10. **Ooredoo QPSC – 309 QAR**  
    - **This is your monthly home broadband bill** (NOT splurge).  
11. **Ooredoo QPSC 3 – 65 QAR** + **5 QAR**, plus **Ooredoo CC Top Up – 40 QAR**  
    - Mobile/recharge; some recurring, some pay‑as‑you‑go.
**Approximate monthly recurring stack (that is clearly ongoing):**
- OpenAI: ~275 QAR
- Anthropic + Claude.ai: ~464 QAR
- Gamma.app: ~91 QAR
- Google Workspace: ~410 QAR
- Medium: ~18 QAR
- Render.com: ~30 QAR
- GitHub: ~53 QAR
- Ooredoo home broadband: 309 QAR
- Mobile top‑ups (averaged): maybe **60–100 QAR** per month
**Total recurring / SaaS / telecom:** roughly **1,710–1,750 QAR per month.**
### 4.2 Potential duplicates / low‑value or forgotten subs
- **AI tools overlap**:  
  - You’re paying simultaneously for **OpenAI, Anthropic (multiple plans/credits), and Claude.ai subscription**.  
  - Combined AI spend alone ≈**740 QAR/month+**. There’s likely functional overlap.
- **Content vs utility**:  
  - **Medium (18 QAR)** is small but often underused; worth confirming actual usage.
  - **G2A, Battle.net, Gamer2Gamer** look more like **ad hoc gaming** than subscriptions; but the pattern suggests regular digital entertainment spend.
---
## 5. Actionable Recommendations
I’ll split into **Quick Wins (this month)** and **Structural Changes (next 3–6 months)**, with rough annual savings.
### 5.1 Quick wins (high‑impact, low friction)
**1. Rationalize AI &amp; SaaS stack (priority: HIGH)**  
- You currently spend ≈**1,350–1,450 QAR/month** on AI/productivity (OpenAI, Anthropic/Claude, Gamma, Render, Medium, GitHub, Workspace).  
- **Action:**  
  - Decide on **1 primary AI provider** for heavy use (e.g., either OpenAI or Anthropic/Claude) and keep the other at a **minimal or free tier**.  
  - Review if you truly need **both** Gamma.app and Google Workspace at paid levels.  
- **Conservative target:** cut this bucket by **30–40%** without major productivity loss.  
  - Savings: **~450–550 QAR/month** → **5,400–6,600 QAR/year.**
**2. Cap weekend restaurant / hotel/bar spend (priority: HIGH)**  
- Hotels &amp; restaurants: ≈**2,145 QAR** (Andaz, Sedra, Dusit, St Regis, The Barn, Le Royal Méridien, Mr Taco).  
- **Action:**  
  - Set a **hard weekend dining/nightlife budget** of, say, **1,200 QAR/month**.  
  - Practically: limit **“big night” venues (hotel bars/restaurants)** to **1–2 per month**, and favor cheaper spots the rest of the time.
- **Estimated saving:** **~900 QAR/month** if you actually keep to 1,200 vs ~2,100 → **10,800 QAR/year.**
**3. Reduce food delivery frequency (Talabat + Keeta) (priority: HIGH)**  
- Combined Talabat/Keeta: ≈**1,900–2,400 QAR** this month.  
- **Action:**
  - Designate **3 “delivery days” per week max**, cook or buy groceries the rest.  
  - Set a **per‑order cap** (e.g., ≤60 QAR unless sharing with others).  
- **Realistic reduction:** **20–30% cut** without lifestyle pain.  
  - Savings: **~400–600 QAR/month** → **4,800–7,200 QAR/year.**
**4. Audit Afif transfers &amp; QDC usage (priority: MEDIUM)**  
- Outflows to **Afif Bou Nassif** ≈**7,027 QAR**; likely mix of **rent** and **QDC/family**.  
- **Action:**  
  - Clarify: exactly **how much of this is fixed rent** vs. variable discretionary (QDC / support).  
  - If non‑rent part is &gt;**1,500 QAR**, consider capping it to a fixed monthly limit.
- **If you trim non‑rent Afif/QDC by 500 QAR/month:** → **6,000 QAR/year.**
**5. One‑off digital &amp; gaming spends – set a monthly cap (priority: MEDIUM)**  
- This month: G2A (700–750 QAR), Battle.net 47 QAR, Gamer2Gamer 55 QAR, plus IKEA/Abercrombie/TAP.  
- **Action:**
  - Set a **“fun digital/gaming budget”** of **300–350 QAR/month**.  
  - Anything above that is deferred to the next month (“wishlist” rule).
- **Potential saving vs this month’s 800–900 QAR:** **~400–500 QAR/month** → **4,800–6,000 QAR/year** when those spikes happen.
### 5.2 Structural / longer‑term improvements
**6. Build a minimum 3‑month cash buffer (priority: HIGH)**  
- Monthly baseline expenses (rent + utilities + food + basic transport) ≈ **12,000–13,000 QAR** (very rough).  
- Target emergency fund: **36,000–40,000 QAR**.  
- **Action:**  
  - Use savings from steps 1–5 (likely **1,500–2,000 QAR/month**) and auto‑transfer to a **separate savings account** right after salary.  
  - That gets you to **3 months buffer in ~18–24 months** without feeling extreme sacrifice.
**7. Create a simple category budget using your actual pattern**  
Approx monthly caps that align with your current lifestyle but nudge downwards:
- Housing (rent + basic Afif): **5,000–5,500 QAR**  
- Groceries + Dining + Delivery (all food): **2,500 QAR**  
- Transport (Uber + petrol): **1,000–1,200 QAR**  
- SaaS &amp; AI: **1,000–1,200 QAR** (down from ~1,700)  
- Shopping / discretionary non‑food (IKEA, clothing, gaming, TAP): **1,000–1,200 QAR**  
- Bars &amp; Hotels (socializing): **1,200 QAR**
**Action:**  
- One evening, build a **simple sheet or app budget** with these ceilings and track live. You don’t need a complex system; just watch these 6 buckets.
**8. Consolidate telecom if possible**  
- You pay **309 QAR broadband (fixed)** plus ~**100 QAR** scattered top‑ups.  
- **Action:**  
  - Check if Ooredoo has **bundled mobile + broadband** offers or if you can lower your home speed tier slightly without pain.  
- Even **a 50 QAR/month reduction** is **600 QAR/year** with minimal impact.
---
## 6. Forward Look
### 6.1 Predicted expenses next month (if behavior stays the same)
Based on this month’s pattern:
- **Rent / Afif (fixed component):** ~**4,000–5,500 QAR**
- **Food (Talabat, Keeta, Pain Au Cafe, restaurants):** **3,000–3,500 QAR**
- **Transport (Uber + petrol, excluding big anomaly):** **800–1,000 QAR**  
  - If 2,000 QAR petrol was a one‑off, next month likely much lower there.
- **Subscriptions &amp; SaaS:** **1,700 QAR**
- **Shopping &amp; digital goods:** depending on plans, expect **1,000–1,500 QAR** if you don’t repeat IKEA‑scale buys.
- **Bars &amp; Hotels / night‑out spend:** **1,500–2,000 QAR** unless you intentionally cap it.
- **Utilities &amp; telecom:** **400–500 QAR**
**Total projected spend:** **~12,400–15,700 QAR**  
This would **leave you 2,300–5,600 QAR** of salary unspent *if* you implement some of the caps above. Without changes and with another “heavy” month of one‑offs, you’re closer to **18,000 QAR spending** again.
### 6.2 Upcoming pressure points
- **Another large furniture/electronics purchase** like IKEA (1,791 QAR) or TAP (1,249 QAR) in the same month will **eliminate your saving margin**.
- If you keep all current **AI/SaaS subscriptions** and your **nightlife/restaurant pattern**, you’ll continue running a **near‑zero savings rate** despite a good salary.
- **End‑of‑month cluster**: salary hits on the 28th, and you quickly send big transfers (Afif 4,000 + 1,500 + 1,527). That front‑loads outflows; any unexpected expense mid‑month could force you into overdraft or credit.
---
### Summary of most impactful moves (in order)
1. **Cut overlapping AI/SaaS by ~30–40%** → +450–550 QAR/month.
2. **Cap weekend hotels/restaurants to 1,200 QAR** → +~900 QAR/month.
3. **Reduce Talabat/Keeta by 20–30%** → +400–600 QAR/month.
4. **Clarify Afif/QDC amounts and cap the discretionary part** → +~500 QAR/month.
5. **Set a gaming/shopping budget (300–350 QAR)** vs spikes → +400–500 QAR in “heavy” months.
Implement just items 1–3 and you’re already freeing **~1,300–2,000 QAR every month**, which is enough to start building a solid buffer without feeling like you’ve drastically changed your lifestyle.</t>
  </si>
  <si>
    <t>Pattern</t>
  </si>
  <si>
    <t>Display Name</t>
  </si>
  <si>
    <t>Consolidated Name</t>
  </si>
  <si>
    <t>al meera</t>
  </si>
  <si>
    <t>Al Meera</t>
  </si>
  <si>
    <t>carrefour</t>
  </si>
  <si>
    <t>Carrefour</t>
  </si>
  <si>
    <t>centra supermarket</t>
  </si>
  <si>
    <t>Centra Supermarket</t>
  </si>
  <si>
    <t>Centra</t>
  </si>
  <si>
    <t>centra supermarkets an</t>
  </si>
  <si>
    <t>Centra Supermarkets</t>
  </si>
  <si>
    <t>falaq food</t>
  </si>
  <si>
    <t>Falaq Food Centre</t>
  </si>
  <si>
    <t>Falaq Food</t>
  </si>
  <si>
    <t>falcon trading</t>
  </si>
  <si>
    <t>Falcon Trading Center</t>
  </si>
  <si>
    <t>Falcon Trading</t>
  </si>
  <si>
    <t>falcon trading center</t>
  </si>
  <si>
    <t>family food</t>
  </si>
  <si>
    <t>Family Food Centre</t>
  </si>
  <si>
    <t>Family Food</t>
  </si>
  <si>
    <t>lulu</t>
  </si>
  <si>
    <t>Lulu Hypermarket</t>
  </si>
  <si>
    <t>Lulu</t>
  </si>
  <si>
    <t>mega mart</t>
  </si>
  <si>
    <t>Mega Mart</t>
  </si>
  <si>
    <t>monoprix</t>
  </si>
  <si>
    <t>Monoprix</t>
  </si>
  <si>
    <t>spar</t>
  </si>
  <si>
    <t>Spar</t>
  </si>
  <si>
    <t>zahra grand</t>
  </si>
  <si>
    <t>Zahra Grand Fresh</t>
  </si>
  <si>
    <t>Zahra Grand</t>
  </si>
  <si>
    <t>zekreek supermarket</t>
  </si>
  <si>
    <t>Zekreet Supermarket</t>
  </si>
  <si>
    <t>Zekreet</t>
  </si>
  <si>
    <t>abc dbayeh</t>
  </si>
  <si>
    <t>ABC Dbayeh</t>
  </si>
  <si>
    <t>ABC</t>
  </si>
  <si>
    <t>evergreenorganics</t>
  </si>
  <si>
    <t>Evergreen Organics</t>
  </si>
  <si>
    <t>spinneys</t>
  </si>
  <si>
    <t>Spinneys</t>
  </si>
  <si>
    <t>the approved market</t>
  </si>
  <si>
    <t>The Approved Market</t>
  </si>
  <si>
    <t>talabat</t>
  </si>
  <si>
    <t>Talabat Pro</t>
  </si>
  <si>
    <t>talabat qfc llc</t>
  </si>
  <si>
    <t>keeta</t>
  </si>
  <si>
    <t>keeta qfc llc</t>
  </si>
  <si>
    <t>snoonu</t>
  </si>
  <si>
    <t>Snoonu</t>
  </si>
  <si>
    <t>toters</t>
  </si>
  <si>
    <t>Toters</t>
  </si>
  <si>
    <t>costa</t>
  </si>
  <si>
    <t>Costa Coffee</t>
  </si>
  <si>
    <t>Costa</t>
  </si>
  <si>
    <t>kfc</t>
  </si>
  <si>
    <t>KFC</t>
  </si>
  <si>
    <t>lwzaar</t>
  </si>
  <si>
    <t>Lwzaar</t>
  </si>
  <si>
    <t>mango hospitality</t>
  </si>
  <si>
    <t>Mango Hospitality</t>
  </si>
  <si>
    <t>Mango</t>
  </si>
  <si>
    <t>mcdonald</t>
  </si>
  <si>
    <t>McDonald's</t>
  </si>
  <si>
    <t>mr mrs hawk</t>
  </si>
  <si>
    <t>Mr &amp; Mrs Hawk</t>
  </si>
  <si>
    <t>mumble jung</t>
  </si>
  <si>
    <t>Mumble Jungle</t>
  </si>
  <si>
    <t>olivia restaurant</t>
  </si>
  <si>
    <t>Olivia Restaurant</t>
  </si>
  <si>
    <t>Olivia</t>
  </si>
  <si>
    <t>pain au cafe</t>
  </si>
  <si>
    <t>Pain au Café</t>
  </si>
  <si>
    <t>raising canes</t>
  </si>
  <si>
    <t>Raising Cane's</t>
  </si>
  <si>
    <t>starbucks</t>
  </si>
  <si>
    <t>Starbucks</t>
  </si>
  <si>
    <t>sushi ponto</t>
  </si>
  <si>
    <t>Sushi Ponto</t>
  </si>
  <si>
    <t>tim hortons</t>
  </si>
  <si>
    <t>Tim Hortons</t>
  </si>
  <si>
    <t>bar tartine</t>
  </si>
  <si>
    <t>Bar Tartine</t>
  </si>
  <si>
    <t>bistrowisors</t>
  </si>
  <si>
    <t>Bistro Wissors</t>
  </si>
  <si>
    <t>burger king</t>
  </si>
  <si>
    <t>Burger King</t>
  </si>
  <si>
    <t>fat burger</t>
  </si>
  <si>
    <t>Fat Burger</t>
  </si>
  <si>
    <t>kababji</t>
  </si>
  <si>
    <t>Kababji</t>
  </si>
  <si>
    <t>mondays off</t>
  </si>
  <si>
    <t>Mondays Off</t>
  </si>
  <si>
    <t>mr taco</t>
  </si>
  <si>
    <t>Mr Taco</t>
  </si>
  <si>
    <t>the market hall</t>
  </si>
  <si>
    <t>The Market Hall</t>
  </si>
  <si>
    <t>torino express</t>
  </si>
  <si>
    <t>Torino Express</t>
  </si>
  <si>
    <t>andaz</t>
  </si>
  <si>
    <t>Andaz Doha</t>
  </si>
  <si>
    <t>Andaz</t>
  </si>
  <si>
    <t>champions sports bar</t>
  </si>
  <si>
    <t>Champions Sports Bar</t>
  </si>
  <si>
    <t>Champions</t>
  </si>
  <si>
    <t>dusit hotel</t>
  </si>
  <si>
    <t>Dusit Hotel</t>
  </si>
  <si>
    <t>Dusit</t>
  </si>
  <si>
    <t>emerald isle</t>
  </si>
  <si>
    <t>Emerald Isle</t>
  </si>
  <si>
    <t>magnum hotel</t>
  </si>
  <si>
    <t>Magnum Hotel</t>
  </si>
  <si>
    <t>Magnum</t>
  </si>
  <si>
    <t>sedra arjaan</t>
  </si>
  <si>
    <t>Sedra Arjaan</t>
  </si>
  <si>
    <t>aura yacht club</t>
  </si>
  <si>
    <t>Aura Yacht Club</t>
  </si>
  <si>
    <t>Aura</t>
  </si>
  <si>
    <t>four seasons doha</t>
  </si>
  <si>
    <t>Four Seasons Doha</t>
  </si>
  <si>
    <t>Four Seasons</t>
  </si>
  <si>
    <t>pullman</t>
  </si>
  <si>
    <t>Pullman Hotels</t>
  </si>
  <si>
    <t>Pullman</t>
  </si>
  <si>
    <t>amazon</t>
  </si>
  <si>
    <t>Amazon</t>
  </si>
  <si>
    <t>h&amp;m</t>
  </si>
  <si>
    <t>H&amp;M</t>
  </si>
  <si>
    <t>ikea</t>
  </si>
  <si>
    <t>jarir</t>
  </si>
  <si>
    <t>Jarir Bookstore</t>
  </si>
  <si>
    <t>Jarir</t>
  </si>
  <si>
    <t>marks &amp; spencer</t>
  </si>
  <si>
    <t>Marks &amp; Spencer</t>
  </si>
  <si>
    <t>M&amp;S</t>
  </si>
  <si>
    <t>noon</t>
  </si>
  <si>
    <t>Noon</t>
  </si>
  <si>
    <t>vendome</t>
  </si>
  <si>
    <t>Vendome Place</t>
  </si>
  <si>
    <t>Vendome</t>
  </si>
  <si>
    <t>virgin</t>
  </si>
  <si>
    <t>Virgin Megastore</t>
  </si>
  <si>
    <t>Virgin</t>
  </si>
  <si>
    <t>zara</t>
  </si>
  <si>
    <t>Zara</t>
  </si>
  <si>
    <t>abercrombie</t>
  </si>
  <si>
    <t>Abercrombie</t>
  </si>
  <si>
    <t>alif store</t>
  </si>
  <si>
    <t>Alif Store</t>
  </si>
  <si>
    <t>boots</t>
  </si>
  <si>
    <t>Boots</t>
  </si>
  <si>
    <t>lego</t>
  </si>
  <si>
    <t>Lego</t>
  </si>
  <si>
    <t>muji</t>
  </si>
  <si>
    <t>Muji</t>
  </si>
  <si>
    <t>pottery barn</t>
  </si>
  <si>
    <t>Pottery Barn</t>
  </si>
  <si>
    <t>urban outfitters</t>
  </si>
  <si>
    <t>Urban Outfitters</t>
  </si>
  <si>
    <t>battle.net</t>
  </si>
  <si>
    <t>Battle.net</t>
  </si>
  <si>
    <t>Hobbies</t>
  </si>
  <si>
    <t>blizzard</t>
  </si>
  <si>
    <t>Blizzard</t>
  </si>
  <si>
    <t>dstlry</t>
  </si>
  <si>
    <t>DSTLRY</t>
  </si>
  <si>
    <t>g2a</t>
  </si>
  <si>
    <t>G2A</t>
  </si>
  <si>
    <t>gamer2gamer</t>
  </si>
  <si>
    <t>Gamer2Gamer</t>
  </si>
  <si>
    <t>paypal *battle</t>
  </si>
  <si>
    <t>paypal *gamer</t>
  </si>
  <si>
    <t>novo</t>
  </si>
  <si>
    <t>Novo Cinema</t>
  </si>
  <si>
    <t>Novo</t>
  </si>
  <si>
    <t>vox</t>
  </si>
  <si>
    <t>VOX Cinema</t>
  </si>
  <si>
    <t>VOX</t>
  </si>
  <si>
    <t>adobe</t>
  </si>
  <si>
    <t>Adobe</t>
  </si>
  <si>
    <t>amazon prime pmts</t>
  </si>
  <si>
    <t>Amazon Prime</t>
  </si>
  <si>
    <t>anthropic</t>
  </si>
  <si>
    <t>Claude</t>
  </si>
  <si>
    <t>apple.com</t>
  </si>
  <si>
    <t>Apple</t>
  </si>
  <si>
    <t>apple services</t>
  </si>
  <si>
    <t>Apple Services</t>
  </si>
  <si>
    <t>chatgpt</t>
  </si>
  <si>
    <t>ChatGPT</t>
  </si>
  <si>
    <t>OpenAI</t>
  </si>
  <si>
    <t>claude.ai</t>
  </si>
  <si>
    <t>disney</t>
  </si>
  <si>
    <t>Disney+</t>
  </si>
  <si>
    <t>gamma.app</t>
  </si>
  <si>
    <t>Gamma</t>
  </si>
  <si>
    <t>github</t>
  </si>
  <si>
    <t>GitHub</t>
  </si>
  <si>
    <t>paypal *github</t>
  </si>
  <si>
    <t>google workspace</t>
  </si>
  <si>
    <t>google gsuite</t>
  </si>
  <si>
    <t>medium monthly</t>
  </si>
  <si>
    <t>Medium</t>
  </si>
  <si>
    <t>microsoft</t>
  </si>
  <si>
    <t>Microsoft</t>
  </si>
  <si>
    <t>netflix</t>
  </si>
  <si>
    <t>Netflix</t>
  </si>
  <si>
    <t>openai</t>
  </si>
  <si>
    <t>render.com</t>
  </si>
  <si>
    <t>Render</t>
  </si>
  <si>
    <t>spotify</t>
  </si>
  <si>
    <t>Spotify</t>
  </si>
  <si>
    <t>youtube</t>
  </si>
  <si>
    <t>YouTube Premium</t>
  </si>
  <si>
    <t>YouTube</t>
  </si>
  <si>
    <t>kahramaa</t>
  </si>
  <si>
    <t>Kahramaa</t>
  </si>
  <si>
    <t>ooredoo</t>
  </si>
  <si>
    <t>Ooredoo</t>
  </si>
  <si>
    <t>vodafone</t>
  </si>
  <si>
    <t>Vodafone</t>
  </si>
  <si>
    <t>alfa - prepaid</t>
  </si>
  <si>
    <t>Alfa Prepaid</t>
  </si>
  <si>
    <t>Alfa</t>
  </si>
  <si>
    <t>missus wash</t>
  </si>
  <si>
    <t>Missus Wash</t>
  </si>
  <si>
    <t>urban wash</t>
  </si>
  <si>
    <t>Urban Wash</t>
  </si>
  <si>
    <t>doha p.o.box</t>
  </si>
  <si>
    <t>Qatar Post</t>
  </si>
  <si>
    <t>doha p .o.box</t>
  </si>
  <si>
    <t>uber</t>
  </si>
  <si>
    <t>karwa</t>
  </si>
  <si>
    <t>Karwa</t>
  </si>
  <si>
    <t>rafeeq</t>
  </si>
  <si>
    <t>Rafeeq</t>
  </si>
  <si>
    <t>woqod</t>
  </si>
  <si>
    <t>Woqod</t>
  </si>
  <si>
    <t>university petrol</t>
  </si>
  <si>
    <t>University Petrol</t>
  </si>
  <si>
    <t>Petrol</t>
  </si>
  <si>
    <t>qatar rail</t>
  </si>
  <si>
    <t>Qatar Rail</t>
  </si>
  <si>
    <t>Metro</t>
  </si>
  <si>
    <t>city center mall parki</t>
  </si>
  <si>
    <t>City Center Parking</t>
  </si>
  <si>
    <t>Parking</t>
  </si>
  <si>
    <t>qdf</t>
  </si>
  <si>
    <t>Qatar Duty Free</t>
  </si>
  <si>
    <t>Travel</t>
  </si>
  <si>
    <t>hia airport</t>
  </si>
  <si>
    <t>HIA Airport</t>
  </si>
  <si>
    <t>HIA</t>
  </si>
  <si>
    <t>qatar airways</t>
  </si>
  <si>
    <t>Qatar Airways</t>
  </si>
  <si>
    <t>beirut duty</t>
  </si>
  <si>
    <t>Beirut Duty Free</t>
  </si>
  <si>
    <t>hamad inter.airport</t>
  </si>
  <si>
    <t>Hamad Airport</t>
  </si>
  <si>
    <t>marble plus</t>
  </si>
  <si>
    <t>Marble Plus Medical</t>
  </si>
  <si>
    <t>Marble Plus</t>
  </si>
  <si>
    <t>Health</t>
  </si>
  <si>
    <t>medicom pharmacy</t>
  </si>
  <si>
    <t>Medicom Pharmacy</t>
  </si>
  <si>
    <t>Medicom</t>
  </si>
  <si>
    <t>pharmacie musee</t>
  </si>
  <si>
    <t>Pharmacie Musee</t>
  </si>
  <si>
    <t>primary health care</t>
  </si>
  <si>
    <t>Primary Health Care</t>
  </si>
  <si>
    <t>PHC</t>
  </si>
  <si>
    <t>afif bou nassif</t>
  </si>
  <si>
    <t>nicole daou</t>
  </si>
  <si>
    <t>Nicole Daou</t>
  </si>
  <si>
    <t>samer bou nassif</t>
  </si>
  <si>
    <t>lesley</t>
  </si>
  <si>
    <t>Lesley</t>
  </si>
  <si>
    <t>aleksandra backic</t>
  </si>
  <si>
    <t>Aleks</t>
  </si>
  <si>
    <t>rawan kelly</t>
  </si>
  <si>
    <t>Rawan</t>
  </si>
  <si>
    <t>Fawran</t>
  </si>
  <si>
    <t>31645649</t>
  </si>
  <si>
    <t>50371822</t>
  </si>
  <si>
    <t>qa06xxxxxxxxxxxxxxxxxxx650013</t>
  </si>
  <si>
    <t>QA06...650013</t>
  </si>
  <si>
    <t>Bank Transfer</t>
  </si>
  <si>
    <t>qa07xxxxxxxxxxxxxxxxxxx899043</t>
  </si>
  <si>
    <t>QA07...899043</t>
  </si>
  <si>
    <t>qa28xxxxxxxxxxxxxxxxxxx016001</t>
  </si>
  <si>
    <t>QA28...016001</t>
  </si>
  <si>
    <t>qa55xxxxxxxxxxxxxxxxxxx023001</t>
  </si>
  <si>
    <t>QA55...023001</t>
  </si>
  <si>
    <t>qa89xxxxxxxxxxxxxxxxxxx137101</t>
  </si>
  <si>
    <t>QA89...137101</t>
  </si>
  <si>
    <t>alfardanexchange</t>
  </si>
  <si>
    <t>Al Fardan Exchange</t>
  </si>
  <si>
    <t>FX</t>
  </si>
  <si>
    <t>bawwabat al shamal</t>
  </si>
  <si>
    <t>Bawwabat Al Shamal</t>
  </si>
  <si>
    <t>Bawwabat</t>
  </si>
  <si>
    <t>fact special projects</t>
  </si>
  <si>
    <t>FACT Special Projects</t>
  </si>
  <si>
    <t>FACT</t>
  </si>
  <si>
    <t>vogue mens salon</t>
  </si>
  <si>
    <t>Vogue Mens Salon</t>
  </si>
  <si>
    <t>Vogue Salon</t>
  </si>
  <si>
    <t>skpcash</t>
  </si>
  <si>
    <t>SKP Cash PayLater</t>
  </si>
  <si>
    <t>SKP</t>
  </si>
  <si>
    <t>57 d</t>
  </si>
  <si>
    <t>your debit card has been used for a purchase, details:
card number: mdebit2 
amount: qar 255
location: the barn restaurant
available balance: qar 7744.88
in case the transaction is suspicious please c</t>
  </si>
  <si>
    <t>The Barn</t>
  </si>
  <si>
    <t>your debit card has been used for a purchase, details:
card number: mdebit2 
amount: qar 135
location: st regis doha - financ
available balance: qar 7864.88
in case the transaction is suspicious pleas</t>
  </si>
  <si>
    <t>St Regis</t>
  </si>
  <si>
    <t>your debit card has been used for a purchase, details:
card number: mdebit2 
amount: qar 480
location: the barn restaurant
available balance: qar 7999.88
in case the transaction is suspicious please c</t>
  </si>
  <si>
    <t>your debit card has been used for a purchase, details: card number: mdebit2 amount: qar 49 location: zekreet supermarket available balance: qar 202.09</t>
  </si>
  <si>
    <t>RateToQAR</t>
  </si>
  <si>
    <t>Formula</t>
  </si>
  <si>
    <t>1</t>
  </si>
  <si>
    <t>GBP</t>
  </si>
  <si>
    <t>AED</t>
  </si>
  <si>
    <t>SAR</t>
  </si>
  <si>
    <t>Type</t>
  </si>
  <si>
    <t>Key</t>
  </si>
  <si>
    <t>Value</t>
  </si>
  <si>
    <t>Details</t>
  </si>
  <si>
    <t>DateAdded</t>
  </si>
  <si>
    <t>Source</t>
  </si>
  <si>
    <t>correction</t>
  </si>
  <si>
    <t>QAR 309 is splurge.</t>
  </si>
  <si>
    <t>QAR 309 is my monthly home broadband bill</t>
  </si>
  <si>
    <t>2026-01-30T22:07:09.205Z</t>
  </si>
  <si>
    <t>user</t>
  </si>
  <si>
    <t>QAR 309</t>
  </si>
  <si>
    <t>QAR 309 is not a splurge, it's my home internet bill.</t>
  </si>
  <si>
    <t>2026-01-30T22:37:56.576Z</t>
  </si>
  <si>
    <t>to Afif</t>
  </si>
  <si>
    <t>to Afif is rent.</t>
  </si>
  <si>
    <t>2026-01-30T22:40:29.962Z</t>
  </si>
  <si>
    <t>to Afif is actually payment for QDC, which is the liquor store.</t>
  </si>
  <si>
    <t>2026-01-30T22:41:13.105Z</t>
  </si>
  <si>
    <t>payee</t>
  </si>
  <si>
    <t>2026-02-01T05:52:44.862Z</t>
  </si>
  <si>
    <t>learned</t>
  </si>
  <si>
    <t>Your debit card has been used for a purchase, details:
Card number: MDEBIT2 
Amount: QAR 255
Location: THE BARN RESTAURANT
Available balance: QAR 7744.88
In case the transaction is suspicious Please C is Uncategorized</t>
  </si>
  <si>
    <t>Your debit card has been used for a purchase, details:
Card number: MDEBIT2 
Amount: QAR 255
Location: THE BARN RESTAURANT
Available balance: QAR 7744.88
In case the transaction is suspicious Please C is Bars &amp; Hotels</t>
  </si>
  <si>
    <t>User correction from transaction review</t>
  </si>
  <si>
    <t>Phone</t>
  </si>
  <si>
    <t>BankAccount</t>
  </si>
  <si>
    <t>ShortName</t>
  </si>
  <si>
    <t>LongName</t>
  </si>
  <si>
    <t>Samer</t>
  </si>
  <si>
    <t>Parents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</si>
</sst>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quot;T&quot;HH:MM:SS"/>
    <numFmt numFmtId="165" formatCode="yyyy-mm-dd hh:mm:ss"/>
    <numFmt numFmtId="166" formatCode="m/d/yyyy h:mm:ss"/>
  </numFmts>
  <fonts count="6">
    <font>
      <sz val="11.0"/>
      <color theme="1"/>
      <name val="Calibri"/>
      <scheme val="minor"/>
    </font>
    <font>
      <b/>
      <sz val="11.0"/>
      <color rgb="FFFFFFFF"/>
      <name val="Calibri"/>
      <scheme val="minor"/>
    </font>
    <font>
      <sz val="11.0"/>
      <color theme="1"/>
      <name val="Calibri"/>
    </font>
    <font>
      <color theme="1"/>
      <name val="Calibri"/>
      <scheme val="minor"/>
    </font>
    <font>
      <u/>
      <color rgb="FF0000FF"/>
    </font>
    <font>
      <i/>
      <color rgb="FF666666"/>
      <name val="Calibri"/>
      <scheme val="minor"/>
    </font>
  </fonts>
  <fills count="3">
    <fill>
      <patternFill patternType="none"/>
    </fill>
    <fill>
      <patternFill patternType="lightGray"/>
    </fill>
    <fill>
      <patternFill patternType="solid">
        <fgColor rgb="FF6B46C1"/>
        <bgColor rgb="FF6B46C1"/>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readingOrder="0"/>
    </xf>
    <xf borderId="1" fillId="2" fontId="1" numFmtId="0" xfId="0" applyAlignment="1" applyBorder="1" applyFont="1">
      <alignment horizontal="center" shrinkToFit="0" wrapText="1"/>
    </xf>
    <xf borderId="1" fillId="2" fontId="1" numFmtId="0" xfId="0" applyAlignment="1" applyBorder="1" applyFont="1">
      <alignment horizontal="center" readingOrder="0" shrinkToFit="0" wrapText="1"/>
    </xf>
    <xf borderId="0" fillId="0" fontId="2" numFmtId="164" xfId="0" applyAlignment="1" applyFont="1" applyNumberForma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3" numFmtId="0" xfId="0" applyFont="1"/>
    <xf borderId="0" fillId="0" fontId="2" numFmtId="0" xfId="0" applyAlignment="1" applyFont="1">
      <alignment readingOrder="0" vertical="bottom"/>
    </xf>
    <xf borderId="0" fillId="0" fontId="3" numFmtId="164" xfId="0" applyAlignment="1" applyFont="1" applyNumberFormat="1">
      <alignment readingOrder="0"/>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3" numFmtId="165" xfId="0" applyAlignment="1" applyFont="1" applyNumberFormat="1">
      <alignment readingOrder="0"/>
    </xf>
    <xf borderId="0" fillId="0" fontId="3" numFmtId="166" xfId="0" applyAlignment="1" applyFont="1" applyNumberFormat="1">
      <alignment readingOrder="0"/>
    </xf>
    <xf borderId="0" fillId="0" fontId="3" numFmtId="0" xfId="0" applyAlignment="1" applyFont="1">
      <alignment shrinkToFit="0" wrapText="1"/>
    </xf>
    <xf borderId="0" fillId="0" fontId="3" numFmtId="0" xfId="0" applyAlignment="1" applyFont="1">
      <alignment horizontal="right"/>
    </xf>
    <xf borderId="0" fillId="0" fontId="5" numFmtId="0" xfId="0" applyFont="1"/>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2a.com" TargetMode="External"/><Relationship Id="rId2" Type="http://schemas.openxmlformats.org/officeDocument/2006/relationships/hyperlink" Target="http://g2a.com" TargetMode="External"/><Relationship Id="rId3" Type="http://schemas.openxmlformats.org/officeDocument/2006/relationships/hyperlink" Target="http://render.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10.0"/>
    <col customWidth="1" min="4" max="4" width="30.0"/>
    <col customWidth="1" min="5" max="5" width="12.0"/>
    <col customWidth="1" min="6" max="6" width="8.0"/>
    <col customWidth="1" min="7" max="11" width="12.0"/>
    <col customWidth="1" min="12" max="12" width="60.0"/>
    <col customWidth="1" min="13" max="30" width="8.71"/>
  </cols>
  <sheetData>
    <row r="1">
      <c r="A1" s="1" t="s">
        <v>0</v>
      </c>
      <c r="B1" s="1" t="s">
        <v>1</v>
      </c>
      <c r="C1" s="1" t="s">
        <v>2</v>
      </c>
      <c r="D1" s="1" t="s">
        <v>3</v>
      </c>
      <c r="E1" s="1" t="s">
        <v>4</v>
      </c>
      <c r="F1" s="1" t="s">
        <v>5</v>
      </c>
      <c r="G1" s="1" t="s">
        <v>6</v>
      </c>
      <c r="H1" s="2" t="s">
        <v>7</v>
      </c>
      <c r="I1" s="2" t="s">
        <v>8</v>
      </c>
      <c r="J1" s="2" t="s">
        <v>9</v>
      </c>
      <c r="K1" s="2" t="s">
        <v>10</v>
      </c>
      <c r="L1" s="3" t="s">
        <v>11</v>
      </c>
      <c r="M1" s="4" t="s">
        <v>12</v>
      </c>
    </row>
    <row r="2">
      <c r="A2" s="5" t="s">
        <v>13</v>
      </c>
      <c r="B2" s="6">
        <v>260.0</v>
      </c>
      <c r="C2" s="7" t="s">
        <v>14</v>
      </c>
      <c r="D2" s="7" t="s">
        <v>15</v>
      </c>
      <c r="E2" s="7" t="s">
        <v>16</v>
      </c>
      <c r="F2" s="7" t="s">
        <v>17</v>
      </c>
      <c r="G2" s="7" t="s">
        <v>18</v>
      </c>
      <c r="H2" s="7"/>
      <c r="I2" s="7"/>
      <c r="J2" s="7"/>
      <c r="K2" s="7"/>
      <c r="L2" s="8" t="s">
        <v>19</v>
      </c>
      <c r="M2" s="9">
        <f t="shared" ref="M2:M300" si="1">IF(F2="IN", B2, -B2)</f>
        <v>-260</v>
      </c>
    </row>
    <row r="3">
      <c r="A3" s="5" t="s">
        <v>20</v>
      </c>
      <c r="B3" s="6">
        <v>9.93</v>
      </c>
      <c r="C3" s="7" t="s">
        <v>14</v>
      </c>
      <c r="D3" s="7" t="s">
        <v>21</v>
      </c>
      <c r="E3" s="7" t="s">
        <v>16</v>
      </c>
      <c r="F3" s="7" t="s">
        <v>17</v>
      </c>
      <c r="G3" s="7" t="s">
        <v>18</v>
      </c>
      <c r="H3" s="7"/>
      <c r="I3" s="7"/>
      <c r="J3" s="7"/>
      <c r="K3" s="7"/>
      <c r="L3" s="8" t="s">
        <v>22</v>
      </c>
      <c r="M3" s="9">
        <f t="shared" si="1"/>
        <v>-9.93</v>
      </c>
    </row>
    <row r="4">
      <c r="A4" s="5" t="s">
        <v>20</v>
      </c>
      <c r="B4" s="6">
        <v>85.0</v>
      </c>
      <c r="C4" s="7" t="s">
        <v>14</v>
      </c>
      <c r="D4" s="7" t="s">
        <v>23</v>
      </c>
      <c r="E4" s="7" t="s">
        <v>24</v>
      </c>
      <c r="F4" s="7" t="s">
        <v>17</v>
      </c>
      <c r="G4" s="7" t="s">
        <v>18</v>
      </c>
      <c r="H4" s="7"/>
      <c r="I4" s="7"/>
      <c r="J4" s="7"/>
      <c r="K4" s="7"/>
      <c r="L4" s="8" t="s">
        <v>25</v>
      </c>
      <c r="M4" s="9">
        <f t="shared" si="1"/>
        <v>-85</v>
      </c>
    </row>
    <row r="5">
      <c r="A5" s="5" t="s">
        <v>26</v>
      </c>
      <c r="B5" s="6">
        <v>49.0</v>
      </c>
      <c r="C5" s="7" t="s">
        <v>14</v>
      </c>
      <c r="D5" s="7" t="s">
        <v>27</v>
      </c>
      <c r="E5" s="7" t="s">
        <v>24</v>
      </c>
      <c r="F5" s="7" t="s">
        <v>17</v>
      </c>
      <c r="G5" s="7" t="s">
        <v>18</v>
      </c>
      <c r="H5" s="7"/>
      <c r="I5" s="7"/>
      <c r="J5" s="7"/>
      <c r="K5" s="7"/>
      <c r="L5" s="8" t="s">
        <v>28</v>
      </c>
      <c r="M5" s="9">
        <f t="shared" si="1"/>
        <v>-49</v>
      </c>
    </row>
    <row r="6">
      <c r="A6" s="5" t="s">
        <v>29</v>
      </c>
      <c r="B6" s="6">
        <v>48.0</v>
      </c>
      <c r="C6" s="7" t="s">
        <v>14</v>
      </c>
      <c r="D6" s="7" t="s">
        <v>30</v>
      </c>
      <c r="E6" s="7" t="s">
        <v>24</v>
      </c>
      <c r="F6" s="7" t="s">
        <v>17</v>
      </c>
      <c r="G6" s="7" t="s">
        <v>18</v>
      </c>
      <c r="H6" s="7"/>
      <c r="I6" s="7"/>
      <c r="J6" s="7"/>
      <c r="K6" s="7"/>
      <c r="L6" s="8" t="s">
        <v>31</v>
      </c>
      <c r="M6" s="9">
        <f t="shared" si="1"/>
        <v>-48</v>
      </c>
    </row>
    <row r="7">
      <c r="A7" s="5" t="s">
        <v>32</v>
      </c>
      <c r="B7" s="6">
        <v>44.8</v>
      </c>
      <c r="C7" s="7" t="s">
        <v>14</v>
      </c>
      <c r="D7" s="7" t="s">
        <v>33</v>
      </c>
      <c r="E7" s="7" t="s">
        <v>24</v>
      </c>
      <c r="F7" s="7" t="s">
        <v>17</v>
      </c>
      <c r="G7" s="7" t="s">
        <v>18</v>
      </c>
      <c r="H7" s="7"/>
      <c r="I7" s="7"/>
      <c r="J7" s="7"/>
      <c r="K7" s="7"/>
      <c r="L7" s="8" t="s">
        <v>34</v>
      </c>
      <c r="M7" s="9">
        <f t="shared" si="1"/>
        <v>-44.8</v>
      </c>
    </row>
    <row r="8">
      <c r="A8" s="5" t="s">
        <v>35</v>
      </c>
      <c r="B8" s="6">
        <v>50.0</v>
      </c>
      <c r="C8" s="7" t="s">
        <v>14</v>
      </c>
      <c r="D8" s="7" t="s">
        <v>36</v>
      </c>
      <c r="E8" s="7" t="s">
        <v>24</v>
      </c>
      <c r="F8" s="7" t="s">
        <v>17</v>
      </c>
      <c r="G8" s="7" t="s">
        <v>18</v>
      </c>
      <c r="H8" s="7"/>
      <c r="I8" s="7"/>
      <c r="J8" s="7"/>
      <c r="K8" s="7"/>
      <c r="L8" s="8" t="s">
        <v>37</v>
      </c>
      <c r="M8" s="9">
        <f t="shared" si="1"/>
        <v>-50</v>
      </c>
    </row>
    <row r="9">
      <c r="A9" s="5" t="s">
        <v>38</v>
      </c>
      <c r="B9" s="6">
        <v>25.0</v>
      </c>
      <c r="C9" s="7" t="s">
        <v>14</v>
      </c>
      <c r="D9" s="7" t="s">
        <v>33</v>
      </c>
      <c r="E9" s="7" t="s">
        <v>24</v>
      </c>
      <c r="F9" s="7" t="s">
        <v>17</v>
      </c>
      <c r="G9" s="7" t="s">
        <v>18</v>
      </c>
      <c r="H9" s="7"/>
      <c r="I9" s="7"/>
      <c r="J9" s="7"/>
      <c r="K9" s="7"/>
      <c r="L9" s="8" t="s">
        <v>39</v>
      </c>
      <c r="M9" s="9">
        <f t="shared" si="1"/>
        <v>-25</v>
      </c>
    </row>
    <row r="10">
      <c r="A10" s="5" t="s">
        <v>40</v>
      </c>
      <c r="B10" s="6">
        <v>500.0</v>
      </c>
      <c r="C10" s="7" t="s">
        <v>14</v>
      </c>
      <c r="D10" s="7" t="s">
        <v>41</v>
      </c>
      <c r="E10" s="7" t="s">
        <v>42</v>
      </c>
      <c r="F10" s="7" t="s">
        <v>43</v>
      </c>
      <c r="G10" s="7" t="s">
        <v>44</v>
      </c>
      <c r="H10" s="7"/>
      <c r="I10" s="7"/>
      <c r="J10" s="7"/>
      <c r="K10" s="7"/>
      <c r="L10" s="8" t="s">
        <v>45</v>
      </c>
      <c r="M10" s="9">
        <f t="shared" si="1"/>
        <v>500</v>
      </c>
    </row>
    <row r="11">
      <c r="A11" s="5" t="s">
        <v>46</v>
      </c>
      <c r="B11" s="6">
        <v>53.18</v>
      </c>
      <c r="C11" s="7" t="s">
        <v>14</v>
      </c>
      <c r="D11" s="7" t="s">
        <v>47</v>
      </c>
      <c r="E11" s="7" t="s">
        <v>24</v>
      </c>
      <c r="F11" s="7" t="s">
        <v>17</v>
      </c>
      <c r="G11" s="7" t="s">
        <v>18</v>
      </c>
      <c r="H11" s="7"/>
      <c r="I11" s="7"/>
      <c r="J11" s="7"/>
      <c r="K11" s="7"/>
      <c r="L11" s="8" t="s">
        <v>48</v>
      </c>
      <c r="M11" s="9">
        <f t="shared" si="1"/>
        <v>-53.18</v>
      </c>
    </row>
    <row r="12">
      <c r="A12" s="5" t="s">
        <v>49</v>
      </c>
      <c r="B12" s="6">
        <v>61.0</v>
      </c>
      <c r="C12" s="7" t="s">
        <v>14</v>
      </c>
      <c r="D12" s="7" t="s">
        <v>50</v>
      </c>
      <c r="E12" s="7" t="s">
        <v>24</v>
      </c>
      <c r="F12" s="7" t="s">
        <v>17</v>
      </c>
      <c r="G12" s="7" t="s">
        <v>18</v>
      </c>
      <c r="H12" s="7"/>
      <c r="I12" s="7"/>
      <c r="J12" s="7"/>
      <c r="K12" s="7"/>
      <c r="L12" s="8" t="s">
        <v>51</v>
      </c>
      <c r="M12" s="9">
        <f t="shared" si="1"/>
        <v>-61</v>
      </c>
    </row>
    <row r="13">
      <c r="A13" s="5" t="s">
        <v>52</v>
      </c>
      <c r="B13" s="6">
        <v>49.0</v>
      </c>
      <c r="C13" s="7" t="s">
        <v>14</v>
      </c>
      <c r="D13" s="7" t="s">
        <v>53</v>
      </c>
      <c r="E13" s="7" t="s">
        <v>24</v>
      </c>
      <c r="F13" s="7" t="s">
        <v>17</v>
      </c>
      <c r="G13" s="7" t="s">
        <v>18</v>
      </c>
      <c r="H13" s="7"/>
      <c r="I13" s="7"/>
      <c r="J13" s="7"/>
      <c r="K13" s="7"/>
      <c r="L13" s="8" t="s">
        <v>54</v>
      </c>
      <c r="M13" s="9">
        <f t="shared" si="1"/>
        <v>-49</v>
      </c>
    </row>
    <row r="14">
      <c r="A14" s="5" t="s">
        <v>55</v>
      </c>
      <c r="B14" s="6">
        <v>25.96</v>
      </c>
      <c r="C14" s="7" t="s">
        <v>14</v>
      </c>
      <c r="D14" s="7" t="s">
        <v>21</v>
      </c>
      <c r="E14" s="7" t="s">
        <v>16</v>
      </c>
      <c r="F14" s="7" t="s">
        <v>17</v>
      </c>
      <c r="G14" s="7" t="s">
        <v>18</v>
      </c>
      <c r="H14" s="7"/>
      <c r="I14" s="7"/>
      <c r="J14" s="7"/>
      <c r="K14" s="7"/>
      <c r="L14" s="8" t="s">
        <v>56</v>
      </c>
      <c r="M14" s="9">
        <f t="shared" si="1"/>
        <v>-25.96</v>
      </c>
    </row>
    <row r="15">
      <c r="A15" s="5" t="s">
        <v>55</v>
      </c>
      <c r="B15" s="6">
        <v>33.0</v>
      </c>
      <c r="C15" s="7" t="s">
        <v>14</v>
      </c>
      <c r="D15" s="7" t="s">
        <v>57</v>
      </c>
      <c r="E15" s="7" t="s">
        <v>24</v>
      </c>
      <c r="F15" s="7" t="s">
        <v>17</v>
      </c>
      <c r="G15" s="7" t="s">
        <v>18</v>
      </c>
      <c r="H15" s="7"/>
      <c r="I15" s="7"/>
      <c r="J15" s="7"/>
      <c r="K15" s="7"/>
      <c r="L15" s="8" t="s">
        <v>58</v>
      </c>
      <c r="M15" s="9">
        <f t="shared" si="1"/>
        <v>-33</v>
      </c>
    </row>
    <row r="16">
      <c r="A16" s="5" t="s">
        <v>55</v>
      </c>
      <c r="B16" s="6">
        <v>193.0</v>
      </c>
      <c r="C16" s="7" t="s">
        <v>14</v>
      </c>
      <c r="D16" s="7" t="s">
        <v>59</v>
      </c>
      <c r="E16" s="7" t="s">
        <v>24</v>
      </c>
      <c r="F16" s="7" t="s">
        <v>17</v>
      </c>
      <c r="G16" s="7" t="s">
        <v>18</v>
      </c>
      <c r="H16" s="7"/>
      <c r="I16" s="7"/>
      <c r="J16" s="7"/>
      <c r="K16" s="7"/>
      <c r="L16" s="8" t="s">
        <v>60</v>
      </c>
      <c r="M16" s="9">
        <f t="shared" si="1"/>
        <v>-193</v>
      </c>
    </row>
    <row r="17">
      <c r="A17" s="5" t="s">
        <v>61</v>
      </c>
      <c r="B17" s="6">
        <v>8.94</v>
      </c>
      <c r="C17" s="7" t="s">
        <v>14</v>
      </c>
      <c r="D17" s="7" t="s">
        <v>62</v>
      </c>
      <c r="E17" s="7" t="s">
        <v>16</v>
      </c>
      <c r="F17" s="7" t="s">
        <v>17</v>
      </c>
      <c r="G17" s="7" t="s">
        <v>18</v>
      </c>
      <c r="H17" s="7"/>
      <c r="I17" s="7"/>
      <c r="J17" s="7"/>
      <c r="K17" s="7"/>
      <c r="L17" s="8" t="s">
        <v>63</v>
      </c>
      <c r="M17" s="9">
        <f t="shared" si="1"/>
        <v>-8.94</v>
      </c>
    </row>
    <row r="18" ht="15.75" customHeight="1">
      <c r="A18" s="5" t="s">
        <v>64</v>
      </c>
      <c r="B18" s="6">
        <v>26.4</v>
      </c>
      <c r="C18" s="7" t="s">
        <v>14</v>
      </c>
      <c r="D18" s="7" t="s">
        <v>65</v>
      </c>
      <c r="E18" s="7" t="s">
        <v>24</v>
      </c>
      <c r="F18" s="7" t="s">
        <v>17</v>
      </c>
      <c r="G18" s="7" t="s">
        <v>18</v>
      </c>
      <c r="H18" s="7"/>
      <c r="I18" s="7"/>
      <c r="J18" s="7"/>
      <c r="K18" s="7"/>
      <c r="L18" s="8" t="s">
        <v>66</v>
      </c>
      <c r="M18" s="9">
        <f t="shared" si="1"/>
        <v>-26.4</v>
      </c>
    </row>
    <row r="19" ht="15.75" customHeight="1">
      <c r="A19" s="5" t="s">
        <v>67</v>
      </c>
      <c r="B19" s="6">
        <v>117.0</v>
      </c>
      <c r="C19" s="7" t="s">
        <v>14</v>
      </c>
      <c r="D19" s="7" t="s">
        <v>68</v>
      </c>
      <c r="E19" s="7" t="s">
        <v>16</v>
      </c>
      <c r="F19" s="7" t="s">
        <v>17</v>
      </c>
      <c r="G19" s="7" t="s">
        <v>18</v>
      </c>
      <c r="H19" s="7"/>
      <c r="I19" s="7"/>
      <c r="J19" s="7"/>
      <c r="K19" s="7"/>
      <c r="L19" s="8" t="s">
        <v>69</v>
      </c>
      <c r="M19" s="9">
        <f t="shared" si="1"/>
        <v>-117</v>
      </c>
    </row>
    <row r="20" ht="15.75" customHeight="1">
      <c r="A20" s="5" t="s">
        <v>70</v>
      </c>
      <c r="B20" s="6">
        <v>9.93</v>
      </c>
      <c r="C20" s="7" t="s">
        <v>14</v>
      </c>
      <c r="D20" s="7" t="s">
        <v>62</v>
      </c>
      <c r="E20" s="7" t="s">
        <v>16</v>
      </c>
      <c r="F20" s="7" t="s">
        <v>17</v>
      </c>
      <c r="G20" s="7" t="s">
        <v>18</v>
      </c>
      <c r="H20" s="7"/>
      <c r="I20" s="7"/>
      <c r="J20" s="7"/>
      <c r="K20" s="7"/>
      <c r="L20" s="8" t="s">
        <v>71</v>
      </c>
      <c r="M20" s="9">
        <f t="shared" si="1"/>
        <v>-9.93</v>
      </c>
    </row>
    <row r="21" ht="15.75" customHeight="1">
      <c r="A21" s="5" t="s">
        <v>72</v>
      </c>
      <c r="B21" s="6">
        <v>500.0</v>
      </c>
      <c r="C21" s="7" t="s">
        <v>14</v>
      </c>
      <c r="D21" s="7" t="s">
        <v>41</v>
      </c>
      <c r="E21" s="7" t="s">
        <v>42</v>
      </c>
      <c r="F21" s="7" t="s">
        <v>43</v>
      </c>
      <c r="G21" s="7" t="s">
        <v>44</v>
      </c>
      <c r="H21" s="7"/>
      <c r="I21" s="7"/>
      <c r="J21" s="7"/>
      <c r="K21" s="7"/>
      <c r="L21" s="8" t="s">
        <v>73</v>
      </c>
      <c r="M21" s="9">
        <f t="shared" si="1"/>
        <v>500</v>
      </c>
    </row>
    <row r="22" ht="15.75" customHeight="1">
      <c r="A22" s="5" t="s">
        <v>74</v>
      </c>
      <c r="B22" s="6">
        <v>8.95</v>
      </c>
      <c r="C22" s="7" t="s">
        <v>14</v>
      </c>
      <c r="D22" s="7" t="s">
        <v>62</v>
      </c>
      <c r="E22" s="7" t="s">
        <v>16</v>
      </c>
      <c r="F22" s="7" t="s">
        <v>17</v>
      </c>
      <c r="G22" s="7" t="s">
        <v>18</v>
      </c>
      <c r="H22" s="7"/>
      <c r="I22" s="7"/>
      <c r="J22" s="7"/>
      <c r="K22" s="7"/>
      <c r="L22" s="8" t="s">
        <v>75</v>
      </c>
      <c r="M22" s="9">
        <f t="shared" si="1"/>
        <v>-8.95</v>
      </c>
    </row>
    <row r="23" ht="15.75" customHeight="1">
      <c r="A23" s="5" t="s">
        <v>76</v>
      </c>
      <c r="B23" s="6">
        <v>25.2</v>
      </c>
      <c r="C23" s="7" t="s">
        <v>14</v>
      </c>
      <c r="D23" s="7" t="s">
        <v>65</v>
      </c>
      <c r="E23" s="7" t="s">
        <v>16</v>
      </c>
      <c r="F23" s="7" t="s">
        <v>17</v>
      </c>
      <c r="G23" s="7" t="s">
        <v>18</v>
      </c>
      <c r="H23" s="7"/>
      <c r="I23" s="7"/>
      <c r="J23" s="7"/>
      <c r="K23" s="7"/>
      <c r="L23" s="8" t="s">
        <v>77</v>
      </c>
      <c r="M23" s="9">
        <f t="shared" si="1"/>
        <v>-25.2</v>
      </c>
    </row>
    <row r="24" ht="15.75" customHeight="1">
      <c r="A24" s="5" t="s">
        <v>78</v>
      </c>
      <c r="B24" s="6">
        <v>22.94</v>
      </c>
      <c r="C24" s="7" t="s">
        <v>14</v>
      </c>
      <c r="D24" s="7" t="s">
        <v>21</v>
      </c>
      <c r="E24" s="7" t="s">
        <v>16</v>
      </c>
      <c r="F24" s="7" t="s">
        <v>17</v>
      </c>
      <c r="G24" s="7" t="s">
        <v>18</v>
      </c>
      <c r="H24" s="7"/>
      <c r="I24" s="7"/>
      <c r="J24" s="7"/>
      <c r="K24" s="7"/>
      <c r="L24" s="8" t="s">
        <v>79</v>
      </c>
      <c r="M24" s="9">
        <f t="shared" si="1"/>
        <v>-22.94</v>
      </c>
    </row>
    <row r="25" ht="15.75" customHeight="1">
      <c r="A25" s="5" t="s">
        <v>80</v>
      </c>
      <c r="B25" s="6">
        <v>40.0</v>
      </c>
      <c r="C25" s="7" t="s">
        <v>14</v>
      </c>
      <c r="D25" s="7" t="s">
        <v>81</v>
      </c>
      <c r="E25" s="7" t="s">
        <v>16</v>
      </c>
      <c r="F25" s="7" t="s">
        <v>17</v>
      </c>
      <c r="G25" s="7" t="s">
        <v>18</v>
      </c>
      <c r="H25" s="7"/>
      <c r="I25" s="7"/>
      <c r="J25" s="7"/>
      <c r="K25" s="7"/>
      <c r="L25" s="8" t="s">
        <v>82</v>
      </c>
      <c r="M25" s="9">
        <f t="shared" si="1"/>
        <v>-40</v>
      </c>
    </row>
    <row r="26" ht="15.75" customHeight="1">
      <c r="A26" s="5" t="s">
        <v>83</v>
      </c>
      <c r="B26" s="6">
        <v>139.0</v>
      </c>
      <c r="C26" s="7" t="s">
        <v>14</v>
      </c>
      <c r="D26" s="7" t="s">
        <v>68</v>
      </c>
      <c r="E26" s="7" t="s">
        <v>16</v>
      </c>
      <c r="F26" s="7" t="s">
        <v>17</v>
      </c>
      <c r="G26" s="7" t="s">
        <v>18</v>
      </c>
      <c r="H26" s="7"/>
      <c r="I26" s="7"/>
      <c r="J26" s="7"/>
      <c r="K26" s="7"/>
      <c r="L26" s="8" t="s">
        <v>84</v>
      </c>
      <c r="M26" s="9">
        <f t="shared" si="1"/>
        <v>-139</v>
      </c>
    </row>
    <row r="27" ht="15.75" customHeight="1">
      <c r="A27" s="5" t="s">
        <v>85</v>
      </c>
      <c r="B27" s="6">
        <v>27.0</v>
      </c>
      <c r="C27" s="7" t="s">
        <v>14</v>
      </c>
      <c r="D27" s="7" t="s">
        <v>86</v>
      </c>
      <c r="E27" s="7" t="s">
        <v>16</v>
      </c>
      <c r="F27" s="7" t="s">
        <v>17</v>
      </c>
      <c r="G27" s="7" t="s">
        <v>18</v>
      </c>
      <c r="H27" s="7"/>
      <c r="I27" s="7"/>
      <c r="J27" s="7"/>
      <c r="K27" s="7"/>
      <c r="L27" s="8" t="s">
        <v>87</v>
      </c>
      <c r="M27" s="9">
        <f t="shared" si="1"/>
        <v>-27</v>
      </c>
    </row>
    <row r="28" ht="15.75" customHeight="1">
      <c r="A28" s="5" t="s">
        <v>88</v>
      </c>
      <c r="B28" s="6">
        <v>340.0</v>
      </c>
      <c r="C28" s="7" t="s">
        <v>14</v>
      </c>
      <c r="D28" s="7" t="s">
        <v>89</v>
      </c>
      <c r="E28" s="7" t="s">
        <v>24</v>
      </c>
      <c r="F28" s="7" t="s">
        <v>17</v>
      </c>
      <c r="G28" s="7" t="s">
        <v>18</v>
      </c>
      <c r="H28" s="7"/>
      <c r="I28" s="7"/>
      <c r="J28" s="7"/>
      <c r="K28" s="7"/>
      <c r="L28" s="8" t="s">
        <v>90</v>
      </c>
      <c r="M28" s="9">
        <f t="shared" si="1"/>
        <v>-340</v>
      </c>
    </row>
    <row r="29" ht="15.75" customHeight="1">
      <c r="A29" s="5" t="s">
        <v>91</v>
      </c>
      <c r="B29" s="6">
        <v>47.0</v>
      </c>
      <c r="C29" s="7" t="s">
        <v>14</v>
      </c>
      <c r="D29" s="7" t="s">
        <v>86</v>
      </c>
      <c r="E29" s="7" t="s">
        <v>16</v>
      </c>
      <c r="F29" s="7" t="s">
        <v>17</v>
      </c>
      <c r="G29" s="7" t="s">
        <v>18</v>
      </c>
      <c r="H29" s="7"/>
      <c r="I29" s="7"/>
      <c r="J29" s="7"/>
      <c r="K29" s="7"/>
      <c r="L29" s="8" t="s">
        <v>92</v>
      </c>
      <c r="M29" s="9">
        <f t="shared" si="1"/>
        <v>-47</v>
      </c>
    </row>
    <row r="30" ht="15.75" customHeight="1">
      <c r="A30" s="5" t="s">
        <v>93</v>
      </c>
      <c r="B30" s="6">
        <v>30.0</v>
      </c>
      <c r="C30" s="7" t="s">
        <v>14</v>
      </c>
      <c r="D30" s="7" t="s">
        <v>94</v>
      </c>
      <c r="E30" s="7" t="s">
        <v>24</v>
      </c>
      <c r="F30" s="7" t="s">
        <v>17</v>
      </c>
      <c r="G30" s="7" t="s">
        <v>18</v>
      </c>
      <c r="H30" s="7"/>
      <c r="I30" s="7"/>
      <c r="J30" s="7"/>
      <c r="K30" s="7"/>
      <c r="L30" s="8" t="s">
        <v>95</v>
      </c>
      <c r="M30" s="9">
        <f t="shared" si="1"/>
        <v>-30</v>
      </c>
    </row>
    <row r="31" ht="15.75" customHeight="1">
      <c r="A31" s="5" t="s">
        <v>96</v>
      </c>
      <c r="B31" s="6">
        <v>18.96</v>
      </c>
      <c r="C31" s="7" t="s">
        <v>14</v>
      </c>
      <c r="D31" s="7" t="s">
        <v>21</v>
      </c>
      <c r="E31" s="7" t="s">
        <v>16</v>
      </c>
      <c r="F31" s="7" t="s">
        <v>17</v>
      </c>
      <c r="G31" s="7" t="s">
        <v>18</v>
      </c>
      <c r="H31" s="7"/>
      <c r="I31" s="7"/>
      <c r="J31" s="7"/>
      <c r="K31" s="7"/>
      <c r="L31" s="8" t="s">
        <v>97</v>
      </c>
      <c r="M31" s="9">
        <f t="shared" si="1"/>
        <v>-18.96</v>
      </c>
    </row>
    <row r="32" ht="15.75" customHeight="1">
      <c r="A32" s="5" t="s">
        <v>98</v>
      </c>
      <c r="B32" s="6">
        <v>45.0</v>
      </c>
      <c r="C32" s="7" t="s">
        <v>14</v>
      </c>
      <c r="D32" s="7" t="s">
        <v>94</v>
      </c>
      <c r="E32" s="7" t="s">
        <v>24</v>
      </c>
      <c r="F32" s="7" t="s">
        <v>17</v>
      </c>
      <c r="G32" s="7" t="s">
        <v>18</v>
      </c>
      <c r="H32" s="7"/>
      <c r="I32" s="7"/>
      <c r="J32" s="7"/>
      <c r="K32" s="7"/>
      <c r="L32" s="8" t="s">
        <v>99</v>
      </c>
      <c r="M32" s="9">
        <f t="shared" si="1"/>
        <v>-45</v>
      </c>
    </row>
    <row r="33" ht="15.75" customHeight="1">
      <c r="A33" s="5" t="s">
        <v>100</v>
      </c>
      <c r="B33" s="6">
        <v>79.0</v>
      </c>
      <c r="C33" s="7" t="s">
        <v>14</v>
      </c>
      <c r="D33" s="7" t="s">
        <v>27</v>
      </c>
      <c r="E33" s="7" t="s">
        <v>24</v>
      </c>
      <c r="F33" s="7" t="s">
        <v>17</v>
      </c>
      <c r="G33" s="7" t="s">
        <v>18</v>
      </c>
      <c r="H33" s="7"/>
      <c r="I33" s="7"/>
      <c r="J33" s="7"/>
      <c r="K33" s="7"/>
      <c r="L33" s="8" t="s">
        <v>101</v>
      </c>
      <c r="M33" s="9">
        <f t="shared" si="1"/>
        <v>-79</v>
      </c>
    </row>
    <row r="34" ht="15.75" customHeight="1">
      <c r="A34" s="5" t="s">
        <v>102</v>
      </c>
      <c r="B34" s="6">
        <v>37.0</v>
      </c>
      <c r="C34" s="7" t="s">
        <v>14</v>
      </c>
      <c r="D34" s="7" t="s">
        <v>68</v>
      </c>
      <c r="E34" s="7" t="s">
        <v>24</v>
      </c>
      <c r="F34" s="7" t="s">
        <v>17</v>
      </c>
      <c r="G34" s="7" t="s">
        <v>18</v>
      </c>
      <c r="H34" s="7"/>
      <c r="I34" s="7"/>
      <c r="J34" s="7"/>
      <c r="K34" s="7"/>
      <c r="L34" s="8" t="s">
        <v>103</v>
      </c>
      <c r="M34" s="9">
        <f t="shared" si="1"/>
        <v>-37</v>
      </c>
    </row>
    <row r="35" ht="15.75" customHeight="1">
      <c r="A35" s="5" t="s">
        <v>104</v>
      </c>
      <c r="B35" s="6">
        <v>20.93</v>
      </c>
      <c r="C35" s="7" t="s">
        <v>14</v>
      </c>
      <c r="D35" s="7" t="s">
        <v>62</v>
      </c>
      <c r="E35" s="7" t="s">
        <v>16</v>
      </c>
      <c r="F35" s="7" t="s">
        <v>17</v>
      </c>
      <c r="G35" s="7" t="s">
        <v>18</v>
      </c>
      <c r="H35" s="7"/>
      <c r="I35" s="7"/>
      <c r="J35" s="7"/>
      <c r="K35" s="7"/>
      <c r="L35" s="8" t="s">
        <v>105</v>
      </c>
      <c r="M35" s="9">
        <f t="shared" si="1"/>
        <v>-20.93</v>
      </c>
    </row>
    <row r="36" ht="15.75" customHeight="1">
      <c r="A36" s="5" t="s">
        <v>106</v>
      </c>
      <c r="B36" s="6">
        <v>10.0</v>
      </c>
      <c r="C36" s="7" t="s">
        <v>107</v>
      </c>
      <c r="D36" s="7" t="s">
        <v>108</v>
      </c>
      <c r="E36" s="7" t="s">
        <v>24</v>
      </c>
      <c r="F36" s="7" t="s">
        <v>17</v>
      </c>
      <c r="G36" s="7" t="s">
        <v>18</v>
      </c>
      <c r="H36" s="7"/>
      <c r="I36" s="7"/>
      <c r="J36" s="7"/>
      <c r="K36" s="7"/>
      <c r="L36" s="8" t="s">
        <v>109</v>
      </c>
      <c r="M36" s="9">
        <f t="shared" si="1"/>
        <v>-10</v>
      </c>
    </row>
    <row r="37" ht="15.75" customHeight="1">
      <c r="A37" s="5" t="s">
        <v>106</v>
      </c>
      <c r="B37" s="6">
        <v>91.73</v>
      </c>
      <c r="C37" s="7" t="s">
        <v>107</v>
      </c>
      <c r="D37" s="7" t="s">
        <v>110</v>
      </c>
      <c r="E37" s="7" t="s">
        <v>24</v>
      </c>
      <c r="F37" s="7" t="s">
        <v>17</v>
      </c>
      <c r="G37" s="7" t="s">
        <v>18</v>
      </c>
      <c r="H37" s="7"/>
      <c r="I37" s="7"/>
      <c r="J37" s="7"/>
      <c r="K37" s="7"/>
      <c r="L37" s="8" t="s">
        <v>111</v>
      </c>
      <c r="M37" s="9">
        <f t="shared" si="1"/>
        <v>-91.73</v>
      </c>
    </row>
    <row r="38" ht="15.75" customHeight="1">
      <c r="A38" s="5" t="s">
        <v>112</v>
      </c>
      <c r="B38" s="6">
        <v>8.95</v>
      </c>
      <c r="C38" s="7" t="s">
        <v>14</v>
      </c>
      <c r="D38" s="7" t="s">
        <v>62</v>
      </c>
      <c r="E38" s="7" t="s">
        <v>16</v>
      </c>
      <c r="F38" s="7" t="s">
        <v>17</v>
      </c>
      <c r="G38" s="7" t="s">
        <v>18</v>
      </c>
      <c r="H38" s="7"/>
      <c r="I38" s="7"/>
      <c r="J38" s="7"/>
      <c r="K38" s="7"/>
      <c r="L38" s="8" t="s">
        <v>113</v>
      </c>
      <c r="M38" s="9">
        <f t="shared" si="1"/>
        <v>-8.95</v>
      </c>
    </row>
    <row r="39" ht="15.75" customHeight="1">
      <c r="A39" s="5" t="s">
        <v>114</v>
      </c>
      <c r="B39" s="6">
        <v>47.49</v>
      </c>
      <c r="C39" s="7" t="s">
        <v>14</v>
      </c>
      <c r="D39" s="7" t="s">
        <v>115</v>
      </c>
      <c r="E39" s="7" t="s">
        <v>24</v>
      </c>
      <c r="F39" s="7" t="s">
        <v>17</v>
      </c>
      <c r="G39" s="7" t="s">
        <v>18</v>
      </c>
      <c r="H39" s="7"/>
      <c r="I39" s="7"/>
      <c r="J39" s="7"/>
      <c r="K39" s="7"/>
      <c r="L39" s="8" t="s">
        <v>116</v>
      </c>
      <c r="M39" s="9">
        <f t="shared" si="1"/>
        <v>-47.49</v>
      </c>
    </row>
    <row r="40" ht="15.75" customHeight="1">
      <c r="A40" s="5" t="s">
        <v>117</v>
      </c>
      <c r="B40" s="6">
        <v>25.0</v>
      </c>
      <c r="C40" s="7" t="s">
        <v>107</v>
      </c>
      <c r="D40" s="7" t="s">
        <v>118</v>
      </c>
      <c r="E40" s="7" t="s">
        <v>16</v>
      </c>
      <c r="F40" s="7" t="s">
        <v>17</v>
      </c>
      <c r="G40" s="7" t="s">
        <v>18</v>
      </c>
      <c r="H40" s="7"/>
      <c r="I40" s="7"/>
      <c r="J40" s="7"/>
      <c r="K40" s="7"/>
      <c r="L40" s="8" t="s">
        <v>119</v>
      </c>
      <c r="M40" s="9">
        <f t="shared" si="1"/>
        <v>-25</v>
      </c>
    </row>
    <row r="41" ht="15.75" customHeight="1">
      <c r="A41" s="5" t="s">
        <v>120</v>
      </c>
      <c r="B41" s="6">
        <v>15.96</v>
      </c>
      <c r="C41" s="7" t="s">
        <v>14</v>
      </c>
      <c r="D41" s="7" t="s">
        <v>21</v>
      </c>
      <c r="E41" s="7" t="s">
        <v>16</v>
      </c>
      <c r="F41" s="7" t="s">
        <v>17</v>
      </c>
      <c r="G41" s="7" t="s">
        <v>18</v>
      </c>
      <c r="H41" s="7"/>
      <c r="I41" s="7"/>
      <c r="J41" s="7"/>
      <c r="K41" s="7"/>
      <c r="L41" s="8" t="s">
        <v>121</v>
      </c>
      <c r="M41" s="9">
        <f t="shared" si="1"/>
        <v>-15.96</v>
      </c>
    </row>
    <row r="42" ht="15.75" customHeight="1">
      <c r="A42" s="5" t="s">
        <v>122</v>
      </c>
      <c r="B42" s="6">
        <v>15.94</v>
      </c>
      <c r="C42" s="7" t="s">
        <v>14</v>
      </c>
      <c r="D42" s="7" t="s">
        <v>21</v>
      </c>
      <c r="E42" s="7" t="s">
        <v>16</v>
      </c>
      <c r="F42" s="7" t="s">
        <v>17</v>
      </c>
      <c r="G42" s="7" t="s">
        <v>18</v>
      </c>
      <c r="H42" s="7"/>
      <c r="I42" s="7"/>
      <c r="J42" s="7"/>
      <c r="K42" s="7"/>
      <c r="L42" s="8" t="s">
        <v>123</v>
      </c>
      <c r="M42" s="9">
        <f t="shared" si="1"/>
        <v>-15.94</v>
      </c>
    </row>
    <row r="43" ht="15.75" customHeight="1">
      <c r="A43" s="5" t="s">
        <v>124</v>
      </c>
      <c r="B43" s="6">
        <v>158.25</v>
      </c>
      <c r="C43" s="7" t="s">
        <v>14</v>
      </c>
      <c r="D43" s="7" t="s">
        <v>68</v>
      </c>
      <c r="E43" s="7" t="s">
        <v>24</v>
      </c>
      <c r="F43" s="7" t="s">
        <v>17</v>
      </c>
      <c r="G43" s="7" t="s">
        <v>18</v>
      </c>
      <c r="H43" s="7"/>
      <c r="I43" s="7"/>
      <c r="J43" s="7"/>
      <c r="K43" s="7"/>
      <c r="L43" s="8" t="s">
        <v>125</v>
      </c>
      <c r="M43" s="9">
        <f t="shared" si="1"/>
        <v>-158.25</v>
      </c>
    </row>
    <row r="44" ht="15.75" customHeight="1">
      <c r="A44" s="5" t="s">
        <v>126</v>
      </c>
      <c r="B44" s="6">
        <v>86.0</v>
      </c>
      <c r="C44" s="7" t="s">
        <v>14</v>
      </c>
      <c r="D44" s="7" t="s">
        <v>68</v>
      </c>
      <c r="E44" s="7" t="s">
        <v>24</v>
      </c>
      <c r="F44" s="7" t="s">
        <v>17</v>
      </c>
      <c r="G44" s="7" t="s">
        <v>18</v>
      </c>
      <c r="H44" s="7"/>
      <c r="I44" s="7"/>
      <c r="J44" s="7"/>
      <c r="K44" s="7"/>
      <c r="L44" s="8" t="s">
        <v>127</v>
      </c>
      <c r="M44" s="9">
        <f t="shared" si="1"/>
        <v>-86</v>
      </c>
    </row>
    <row r="45" ht="15.75" customHeight="1">
      <c r="A45" s="5" t="s">
        <v>128</v>
      </c>
      <c r="B45" s="6">
        <v>26.4</v>
      </c>
      <c r="C45" s="7" t="s">
        <v>14</v>
      </c>
      <c r="D45" s="7" t="s">
        <v>94</v>
      </c>
      <c r="E45" s="7" t="s">
        <v>24</v>
      </c>
      <c r="F45" s="7" t="s">
        <v>17</v>
      </c>
      <c r="G45" s="7" t="s">
        <v>18</v>
      </c>
      <c r="H45" s="7"/>
      <c r="I45" s="7"/>
      <c r="J45" s="7"/>
      <c r="K45" s="7"/>
      <c r="L45" s="8" t="s">
        <v>129</v>
      </c>
      <c r="M45" s="9">
        <f t="shared" si="1"/>
        <v>-26.4</v>
      </c>
    </row>
    <row r="46" ht="15.75" customHeight="1">
      <c r="A46" s="5" t="s">
        <v>130</v>
      </c>
      <c r="B46" s="6">
        <v>25.39</v>
      </c>
      <c r="C46" s="7" t="s">
        <v>14</v>
      </c>
      <c r="D46" s="7" t="s">
        <v>94</v>
      </c>
      <c r="E46" s="7" t="s">
        <v>24</v>
      </c>
      <c r="F46" s="7" t="s">
        <v>17</v>
      </c>
      <c r="G46" s="7" t="s">
        <v>18</v>
      </c>
      <c r="H46" s="7"/>
      <c r="I46" s="7"/>
      <c r="J46" s="7"/>
      <c r="K46" s="7"/>
      <c r="L46" s="8" t="s">
        <v>131</v>
      </c>
      <c r="M46" s="9">
        <f t="shared" si="1"/>
        <v>-25.39</v>
      </c>
    </row>
    <row r="47" ht="15.75" customHeight="1">
      <c r="A47" s="5" t="s">
        <v>132</v>
      </c>
      <c r="B47" s="6">
        <v>40.0</v>
      </c>
      <c r="C47" s="7" t="s">
        <v>14</v>
      </c>
      <c r="D47" s="7" t="s">
        <v>133</v>
      </c>
      <c r="E47" s="7" t="s">
        <v>16</v>
      </c>
      <c r="F47" s="7" t="s">
        <v>17</v>
      </c>
      <c r="G47" s="7" t="s">
        <v>18</v>
      </c>
      <c r="H47" s="7"/>
      <c r="I47" s="7"/>
      <c r="J47" s="7"/>
      <c r="K47" s="7"/>
      <c r="L47" s="8" t="s">
        <v>134</v>
      </c>
      <c r="M47" s="9">
        <f t="shared" si="1"/>
        <v>-40</v>
      </c>
    </row>
    <row r="48" ht="15.75" customHeight="1">
      <c r="A48" s="5" t="s">
        <v>135</v>
      </c>
      <c r="B48" s="6">
        <v>26.4</v>
      </c>
      <c r="C48" s="7" t="s">
        <v>14</v>
      </c>
      <c r="D48" s="7" t="s">
        <v>94</v>
      </c>
      <c r="E48" s="7" t="s">
        <v>24</v>
      </c>
      <c r="F48" s="7" t="s">
        <v>17</v>
      </c>
      <c r="G48" s="7" t="s">
        <v>18</v>
      </c>
      <c r="H48" s="7"/>
      <c r="I48" s="7"/>
      <c r="J48" s="7"/>
      <c r="K48" s="7"/>
      <c r="L48" s="8" t="s">
        <v>136</v>
      </c>
      <c r="M48" s="9">
        <f t="shared" si="1"/>
        <v>-26.4</v>
      </c>
    </row>
    <row r="49" ht="15.75" customHeight="1">
      <c r="A49" s="5" t="s">
        <v>137</v>
      </c>
      <c r="B49" s="6">
        <v>42.2</v>
      </c>
      <c r="C49" s="7" t="s">
        <v>14</v>
      </c>
      <c r="D49" s="7" t="s">
        <v>68</v>
      </c>
      <c r="E49" s="7" t="s">
        <v>24</v>
      </c>
      <c r="F49" s="7" t="s">
        <v>17</v>
      </c>
      <c r="G49" s="7" t="s">
        <v>18</v>
      </c>
      <c r="H49" s="7"/>
      <c r="I49" s="7"/>
      <c r="J49" s="7"/>
      <c r="K49" s="7"/>
      <c r="L49" s="8" t="s">
        <v>138</v>
      </c>
      <c r="M49" s="9">
        <f t="shared" si="1"/>
        <v>-42.2</v>
      </c>
    </row>
    <row r="50" ht="15.75" customHeight="1">
      <c r="A50" s="5" t="s">
        <v>139</v>
      </c>
      <c r="B50" s="6">
        <v>5.5</v>
      </c>
      <c r="C50" s="7" t="s">
        <v>14</v>
      </c>
      <c r="D50" s="7" t="s">
        <v>140</v>
      </c>
      <c r="E50" s="7" t="s">
        <v>16</v>
      </c>
      <c r="F50" s="7" t="s">
        <v>17</v>
      </c>
      <c r="G50" s="7" t="s">
        <v>18</v>
      </c>
      <c r="H50" s="7"/>
      <c r="I50" s="7"/>
      <c r="J50" s="7"/>
      <c r="K50" s="7"/>
      <c r="L50" s="8" t="s">
        <v>141</v>
      </c>
      <c r="M50" s="9">
        <f t="shared" si="1"/>
        <v>-5.5</v>
      </c>
    </row>
    <row r="51" ht="15.75" customHeight="1">
      <c r="A51" s="5" t="s">
        <v>142</v>
      </c>
      <c r="B51" s="6">
        <v>50.0</v>
      </c>
      <c r="C51" s="7" t="s">
        <v>14</v>
      </c>
      <c r="D51" s="7" t="s">
        <v>140</v>
      </c>
      <c r="E51" s="7" t="s">
        <v>24</v>
      </c>
      <c r="F51" s="7" t="s">
        <v>17</v>
      </c>
      <c r="G51" s="7" t="s">
        <v>18</v>
      </c>
      <c r="H51" s="7"/>
      <c r="I51" s="7"/>
      <c r="J51" s="7"/>
      <c r="K51" s="7"/>
      <c r="L51" s="8" t="s">
        <v>143</v>
      </c>
      <c r="M51" s="9">
        <f t="shared" si="1"/>
        <v>-50</v>
      </c>
    </row>
    <row r="52" ht="15.75" customHeight="1">
      <c r="A52" s="5" t="s">
        <v>144</v>
      </c>
      <c r="B52" s="6">
        <v>45.0</v>
      </c>
      <c r="C52" s="7" t="s">
        <v>14</v>
      </c>
      <c r="D52" s="7" t="s">
        <v>145</v>
      </c>
      <c r="E52" s="10" t="s">
        <v>146</v>
      </c>
      <c r="F52" s="7" t="s">
        <v>17</v>
      </c>
      <c r="G52" s="10" t="s">
        <v>146</v>
      </c>
      <c r="H52" s="10"/>
      <c r="I52" s="10"/>
      <c r="J52" s="10"/>
      <c r="K52" s="10"/>
      <c r="L52" s="8" t="s">
        <v>147</v>
      </c>
      <c r="M52" s="9">
        <f t="shared" si="1"/>
        <v>-45</v>
      </c>
    </row>
    <row r="53" ht="15.75" customHeight="1">
      <c r="A53" s="5" t="s">
        <v>148</v>
      </c>
      <c r="B53" s="6">
        <v>26.0</v>
      </c>
      <c r="C53" s="7" t="s">
        <v>14</v>
      </c>
      <c r="D53" s="7" t="s">
        <v>94</v>
      </c>
      <c r="E53" s="7" t="s">
        <v>24</v>
      </c>
      <c r="F53" s="7" t="s">
        <v>17</v>
      </c>
      <c r="G53" s="7" t="s">
        <v>18</v>
      </c>
      <c r="H53" s="7"/>
      <c r="I53" s="7"/>
      <c r="J53" s="7"/>
      <c r="K53" s="7"/>
      <c r="L53" s="8" t="s">
        <v>149</v>
      </c>
      <c r="M53" s="9">
        <f t="shared" si="1"/>
        <v>-26</v>
      </c>
    </row>
    <row r="54" ht="15.75" customHeight="1">
      <c r="A54" s="5" t="s">
        <v>150</v>
      </c>
      <c r="B54" s="6">
        <v>47.0</v>
      </c>
      <c r="C54" s="7" t="s">
        <v>14</v>
      </c>
      <c r="D54" s="7" t="s">
        <v>27</v>
      </c>
      <c r="E54" s="7" t="s">
        <v>24</v>
      </c>
      <c r="F54" s="7" t="s">
        <v>17</v>
      </c>
      <c r="G54" s="7" t="s">
        <v>18</v>
      </c>
      <c r="H54" s="7"/>
      <c r="I54" s="7"/>
      <c r="J54" s="7"/>
      <c r="K54" s="7"/>
      <c r="L54" s="8" t="s">
        <v>151</v>
      </c>
      <c r="M54" s="9">
        <f t="shared" si="1"/>
        <v>-47</v>
      </c>
    </row>
    <row r="55" ht="15.75" customHeight="1">
      <c r="A55" s="5" t="s">
        <v>152</v>
      </c>
      <c r="B55" s="6">
        <v>100.0</v>
      </c>
      <c r="C55" s="7" t="s">
        <v>14</v>
      </c>
      <c r="D55" s="7" t="s">
        <v>68</v>
      </c>
      <c r="E55" s="7" t="s">
        <v>24</v>
      </c>
      <c r="F55" s="7" t="s">
        <v>17</v>
      </c>
      <c r="G55" s="7" t="s">
        <v>18</v>
      </c>
      <c r="H55" s="7"/>
      <c r="I55" s="7"/>
      <c r="J55" s="7"/>
      <c r="K55" s="7"/>
      <c r="L55" s="8" t="s">
        <v>153</v>
      </c>
      <c r="M55" s="9">
        <f t="shared" si="1"/>
        <v>-100</v>
      </c>
    </row>
    <row r="56" ht="15.75" customHeight="1">
      <c r="A56" s="5" t="s">
        <v>154</v>
      </c>
      <c r="B56" s="6">
        <v>47.5</v>
      </c>
      <c r="C56" s="7" t="s">
        <v>14</v>
      </c>
      <c r="D56" s="7" t="s">
        <v>68</v>
      </c>
      <c r="E56" s="7" t="s">
        <v>24</v>
      </c>
      <c r="F56" s="7" t="s">
        <v>17</v>
      </c>
      <c r="G56" s="7" t="s">
        <v>18</v>
      </c>
      <c r="H56" s="7"/>
      <c r="I56" s="7"/>
      <c r="J56" s="7"/>
      <c r="K56" s="7"/>
      <c r="L56" s="8" t="s">
        <v>155</v>
      </c>
      <c r="M56" s="9">
        <f t="shared" si="1"/>
        <v>-47.5</v>
      </c>
    </row>
    <row r="57" ht="15.75" customHeight="1">
      <c r="A57" s="5" t="s">
        <v>156</v>
      </c>
      <c r="B57" s="6">
        <v>17.5</v>
      </c>
      <c r="C57" s="7" t="s">
        <v>14</v>
      </c>
      <c r="D57" s="7" t="s">
        <v>30</v>
      </c>
      <c r="E57" s="7" t="s">
        <v>24</v>
      </c>
      <c r="F57" s="7" t="s">
        <v>17</v>
      </c>
      <c r="G57" s="7" t="s">
        <v>18</v>
      </c>
      <c r="H57" s="7"/>
      <c r="I57" s="7"/>
      <c r="J57" s="7"/>
      <c r="K57" s="7"/>
      <c r="L57" s="8" t="s">
        <v>157</v>
      </c>
      <c r="M57" s="9">
        <f t="shared" si="1"/>
        <v>-17.5</v>
      </c>
    </row>
    <row r="58" ht="15.75" customHeight="1">
      <c r="A58" s="5" t="s">
        <v>158</v>
      </c>
      <c r="B58" s="6">
        <v>25.0</v>
      </c>
      <c r="C58" s="7" t="s">
        <v>14</v>
      </c>
      <c r="D58" s="7" t="s">
        <v>68</v>
      </c>
      <c r="E58" s="7" t="s">
        <v>24</v>
      </c>
      <c r="F58" s="7" t="s">
        <v>17</v>
      </c>
      <c r="G58" s="7" t="s">
        <v>18</v>
      </c>
      <c r="H58" s="7"/>
      <c r="I58" s="7"/>
      <c r="J58" s="7"/>
      <c r="K58" s="7"/>
      <c r="L58" s="8" t="s">
        <v>159</v>
      </c>
      <c r="M58" s="9">
        <f t="shared" si="1"/>
        <v>-25</v>
      </c>
    </row>
    <row r="59" ht="15.75" customHeight="1">
      <c r="A59" s="5" t="s">
        <v>160</v>
      </c>
      <c r="B59" s="6">
        <v>66.0</v>
      </c>
      <c r="C59" s="7" t="s">
        <v>14</v>
      </c>
      <c r="D59" s="7" t="s">
        <v>94</v>
      </c>
      <c r="E59" s="7" t="s">
        <v>24</v>
      </c>
      <c r="F59" s="7" t="s">
        <v>17</v>
      </c>
      <c r="G59" s="7" t="s">
        <v>18</v>
      </c>
      <c r="H59" s="7"/>
      <c r="I59" s="7"/>
      <c r="J59" s="7"/>
      <c r="K59" s="7"/>
      <c r="L59" s="8" t="s">
        <v>161</v>
      </c>
      <c r="M59" s="9">
        <f t="shared" si="1"/>
        <v>-66</v>
      </c>
    </row>
    <row r="60" ht="15.75" customHeight="1">
      <c r="A60" s="5" t="s">
        <v>162</v>
      </c>
      <c r="B60" s="6">
        <v>5.0</v>
      </c>
      <c r="C60" s="7" t="s">
        <v>107</v>
      </c>
      <c r="D60" s="7" t="s">
        <v>163</v>
      </c>
      <c r="E60" s="7" t="s">
        <v>16</v>
      </c>
      <c r="F60" s="7" t="s">
        <v>17</v>
      </c>
      <c r="G60" s="7" t="s">
        <v>18</v>
      </c>
      <c r="H60" s="7"/>
      <c r="I60" s="7"/>
      <c r="J60" s="7"/>
      <c r="K60" s="7"/>
      <c r="L60" s="8" t="s">
        <v>164</v>
      </c>
      <c r="M60" s="9">
        <f t="shared" si="1"/>
        <v>-5</v>
      </c>
    </row>
    <row r="61" ht="15.75" customHeight="1">
      <c r="A61" s="5" t="s">
        <v>162</v>
      </c>
      <c r="B61" s="6">
        <v>1.0</v>
      </c>
      <c r="C61" s="7" t="s">
        <v>107</v>
      </c>
      <c r="D61" s="7" t="s">
        <v>165</v>
      </c>
      <c r="E61" s="7" t="s">
        <v>16</v>
      </c>
      <c r="F61" s="7" t="s">
        <v>17</v>
      </c>
      <c r="G61" s="7" t="s">
        <v>18</v>
      </c>
      <c r="H61" s="7"/>
      <c r="I61" s="7"/>
      <c r="J61" s="7"/>
      <c r="K61" s="7"/>
      <c r="L61" s="8" t="s">
        <v>166</v>
      </c>
      <c r="M61" s="9">
        <f t="shared" si="1"/>
        <v>-1</v>
      </c>
    </row>
    <row r="62" ht="15.75" customHeight="1">
      <c r="A62" s="5" t="s">
        <v>162</v>
      </c>
      <c r="B62" s="6">
        <v>7.0</v>
      </c>
      <c r="C62" s="7" t="s">
        <v>107</v>
      </c>
      <c r="D62" s="7" t="s">
        <v>165</v>
      </c>
      <c r="E62" s="7" t="s">
        <v>16</v>
      </c>
      <c r="F62" s="7" t="s">
        <v>17</v>
      </c>
      <c r="G62" s="7" t="s">
        <v>18</v>
      </c>
      <c r="H62" s="7"/>
      <c r="I62" s="7"/>
      <c r="J62" s="7"/>
      <c r="K62" s="7"/>
      <c r="L62" s="8" t="s">
        <v>167</v>
      </c>
      <c r="M62" s="9">
        <f t="shared" si="1"/>
        <v>-7</v>
      </c>
    </row>
    <row r="63" ht="15.75" customHeight="1">
      <c r="A63" s="5" t="s">
        <v>168</v>
      </c>
      <c r="B63" s="6">
        <v>33.0</v>
      </c>
      <c r="C63" s="7" t="s">
        <v>14</v>
      </c>
      <c r="D63" s="7" t="s">
        <v>94</v>
      </c>
      <c r="E63" s="7" t="s">
        <v>24</v>
      </c>
      <c r="F63" s="7" t="s">
        <v>17</v>
      </c>
      <c r="G63" s="7" t="s">
        <v>18</v>
      </c>
      <c r="H63" s="7"/>
      <c r="I63" s="7"/>
      <c r="J63" s="7"/>
      <c r="K63" s="7"/>
      <c r="L63" s="8" t="s">
        <v>169</v>
      </c>
      <c r="M63" s="9">
        <f t="shared" si="1"/>
        <v>-33</v>
      </c>
    </row>
    <row r="64" ht="15.75" customHeight="1">
      <c r="A64" s="5" t="s">
        <v>170</v>
      </c>
      <c r="B64" s="6">
        <v>5.0</v>
      </c>
      <c r="C64" s="7" t="s">
        <v>107</v>
      </c>
      <c r="D64" s="7" t="s">
        <v>108</v>
      </c>
      <c r="E64" s="7" t="s">
        <v>16</v>
      </c>
      <c r="F64" s="7" t="s">
        <v>17</v>
      </c>
      <c r="G64" s="7" t="s">
        <v>18</v>
      </c>
      <c r="H64" s="7"/>
      <c r="I64" s="7"/>
      <c r="J64" s="7"/>
      <c r="K64" s="7"/>
      <c r="L64" s="8" t="s">
        <v>171</v>
      </c>
      <c r="M64" s="9">
        <f t="shared" si="1"/>
        <v>-5</v>
      </c>
    </row>
    <row r="65" ht="15.75" customHeight="1">
      <c r="A65" s="5" t="s">
        <v>170</v>
      </c>
      <c r="B65" s="6">
        <v>10.0</v>
      </c>
      <c r="C65" s="7" t="s">
        <v>107</v>
      </c>
      <c r="D65" s="7" t="s">
        <v>108</v>
      </c>
      <c r="E65" s="7" t="s">
        <v>16</v>
      </c>
      <c r="F65" s="7" t="s">
        <v>17</v>
      </c>
      <c r="G65" s="7" t="s">
        <v>18</v>
      </c>
      <c r="H65" s="7"/>
      <c r="I65" s="7"/>
      <c r="J65" s="7"/>
      <c r="K65" s="7"/>
      <c r="L65" s="8" t="s">
        <v>172</v>
      </c>
      <c r="M65" s="9">
        <f t="shared" si="1"/>
        <v>-10</v>
      </c>
    </row>
    <row r="66" ht="15.75" customHeight="1">
      <c r="A66" s="5" t="s">
        <v>170</v>
      </c>
      <c r="B66" s="6">
        <v>15.0</v>
      </c>
      <c r="C66" s="7" t="s">
        <v>107</v>
      </c>
      <c r="D66" s="7" t="s">
        <v>173</v>
      </c>
      <c r="E66" s="7" t="s">
        <v>16</v>
      </c>
      <c r="F66" s="7" t="s">
        <v>17</v>
      </c>
      <c r="G66" s="7" t="s">
        <v>18</v>
      </c>
      <c r="H66" s="7"/>
      <c r="I66" s="7"/>
      <c r="J66" s="7"/>
      <c r="K66" s="7"/>
      <c r="L66" s="8" t="s">
        <v>174</v>
      </c>
      <c r="M66" s="9">
        <f t="shared" si="1"/>
        <v>-15</v>
      </c>
    </row>
    <row r="67" ht="15.75" customHeight="1">
      <c r="A67" s="5" t="s">
        <v>175</v>
      </c>
      <c r="B67" s="6">
        <v>20.2</v>
      </c>
      <c r="C67" s="7" t="s">
        <v>14</v>
      </c>
      <c r="D67" s="7" t="s">
        <v>94</v>
      </c>
      <c r="E67" s="7" t="s">
        <v>16</v>
      </c>
      <c r="F67" s="7" t="s">
        <v>17</v>
      </c>
      <c r="G67" s="7" t="s">
        <v>18</v>
      </c>
      <c r="H67" s="7"/>
      <c r="I67" s="7"/>
      <c r="J67" s="7"/>
      <c r="K67" s="7"/>
      <c r="L67" s="8" t="s">
        <v>176</v>
      </c>
      <c r="M67" s="9">
        <f t="shared" si="1"/>
        <v>-20.2</v>
      </c>
    </row>
    <row r="68" ht="15.75" customHeight="1">
      <c r="A68" s="5" t="s">
        <v>177</v>
      </c>
      <c r="B68" s="6">
        <v>24.89</v>
      </c>
      <c r="C68" s="7" t="s">
        <v>14</v>
      </c>
      <c r="D68" s="7" t="s">
        <v>94</v>
      </c>
      <c r="E68" s="7" t="s">
        <v>16</v>
      </c>
      <c r="F68" s="7" t="s">
        <v>17</v>
      </c>
      <c r="G68" s="7" t="s">
        <v>18</v>
      </c>
      <c r="H68" s="7"/>
      <c r="I68" s="7"/>
      <c r="J68" s="7"/>
      <c r="K68" s="7"/>
      <c r="L68" s="8" t="s">
        <v>178</v>
      </c>
      <c r="M68" s="9">
        <f t="shared" si="1"/>
        <v>-24.89</v>
      </c>
    </row>
    <row r="69" ht="15.75" customHeight="1">
      <c r="A69" s="5" t="s">
        <v>179</v>
      </c>
      <c r="B69" s="6">
        <v>54.9</v>
      </c>
      <c r="C69" s="7" t="s">
        <v>14</v>
      </c>
      <c r="D69" s="7" t="s">
        <v>180</v>
      </c>
      <c r="E69" s="7" t="s">
        <v>24</v>
      </c>
      <c r="F69" s="7" t="s">
        <v>17</v>
      </c>
      <c r="G69" s="7" t="s">
        <v>18</v>
      </c>
      <c r="H69" s="7"/>
      <c r="I69" s="7"/>
      <c r="J69" s="7"/>
      <c r="K69" s="7"/>
      <c r="L69" s="8" t="s">
        <v>181</v>
      </c>
      <c r="M69" s="9">
        <f t="shared" si="1"/>
        <v>-54.9</v>
      </c>
    </row>
    <row r="70" ht="15.75" customHeight="1">
      <c r="A70" s="5" t="s">
        <v>182</v>
      </c>
      <c r="B70" s="6">
        <v>50.0</v>
      </c>
      <c r="C70" s="7" t="s">
        <v>14</v>
      </c>
      <c r="D70" s="7" t="s">
        <v>140</v>
      </c>
      <c r="E70" s="7" t="s">
        <v>24</v>
      </c>
      <c r="F70" s="7" t="s">
        <v>17</v>
      </c>
      <c r="G70" s="7" t="s">
        <v>18</v>
      </c>
      <c r="H70" s="7"/>
      <c r="I70" s="7"/>
      <c r="J70" s="7"/>
      <c r="K70" s="7"/>
      <c r="L70" s="8" t="s">
        <v>183</v>
      </c>
      <c r="M70" s="9">
        <f t="shared" si="1"/>
        <v>-50</v>
      </c>
    </row>
    <row r="71" ht="15.75" customHeight="1">
      <c r="A71" s="5" t="s">
        <v>182</v>
      </c>
      <c r="B71" s="6">
        <v>107.2</v>
      </c>
      <c r="C71" s="7" t="s">
        <v>14</v>
      </c>
      <c r="D71" s="7" t="s">
        <v>140</v>
      </c>
      <c r="E71" s="7" t="s">
        <v>24</v>
      </c>
      <c r="F71" s="7" t="s">
        <v>17</v>
      </c>
      <c r="G71" s="7" t="s">
        <v>18</v>
      </c>
      <c r="H71" s="7"/>
      <c r="I71" s="7"/>
      <c r="J71" s="7"/>
      <c r="K71" s="7"/>
      <c r="L71" s="8" t="s">
        <v>184</v>
      </c>
      <c r="M71" s="9">
        <f t="shared" si="1"/>
        <v>-107.2</v>
      </c>
    </row>
    <row r="72" ht="15.75" customHeight="1">
      <c r="A72" s="5" t="s">
        <v>182</v>
      </c>
      <c r="B72" s="6">
        <v>78.0</v>
      </c>
      <c r="C72" s="7" t="s">
        <v>14</v>
      </c>
      <c r="D72" s="7" t="s">
        <v>94</v>
      </c>
      <c r="E72" s="7" t="s">
        <v>16</v>
      </c>
      <c r="F72" s="7" t="s">
        <v>17</v>
      </c>
      <c r="G72" s="7" t="s">
        <v>18</v>
      </c>
      <c r="H72" s="7"/>
      <c r="I72" s="7"/>
      <c r="J72" s="7"/>
      <c r="K72" s="7"/>
      <c r="L72" s="8" t="s">
        <v>185</v>
      </c>
      <c r="M72" s="9">
        <f t="shared" si="1"/>
        <v>-78</v>
      </c>
    </row>
    <row r="73" ht="15.75" customHeight="1">
      <c r="A73" s="5" t="s">
        <v>186</v>
      </c>
      <c r="B73" s="6">
        <v>44.0</v>
      </c>
      <c r="C73" s="7" t="s">
        <v>14</v>
      </c>
      <c r="D73" s="7" t="s">
        <v>68</v>
      </c>
      <c r="E73" s="7" t="s">
        <v>24</v>
      </c>
      <c r="F73" s="7" t="s">
        <v>17</v>
      </c>
      <c r="G73" s="7" t="s">
        <v>18</v>
      </c>
      <c r="H73" s="7"/>
      <c r="I73" s="7"/>
      <c r="J73" s="7"/>
      <c r="K73" s="7"/>
      <c r="L73" s="8" t="s">
        <v>187</v>
      </c>
      <c r="M73" s="9">
        <f t="shared" si="1"/>
        <v>-44</v>
      </c>
    </row>
    <row r="74" ht="15.75" customHeight="1">
      <c r="A74" s="5" t="s">
        <v>188</v>
      </c>
      <c r="B74" s="6">
        <v>50.0</v>
      </c>
      <c r="C74" s="7" t="s">
        <v>14</v>
      </c>
      <c r="D74" s="7" t="s">
        <v>68</v>
      </c>
      <c r="E74" s="7" t="s">
        <v>24</v>
      </c>
      <c r="F74" s="7" t="s">
        <v>17</v>
      </c>
      <c r="G74" s="7" t="s">
        <v>18</v>
      </c>
      <c r="H74" s="7"/>
      <c r="I74" s="7"/>
      <c r="J74" s="7"/>
      <c r="K74" s="7"/>
      <c r="L74" s="8" t="s">
        <v>189</v>
      </c>
      <c r="M74" s="9">
        <f t="shared" si="1"/>
        <v>-50</v>
      </c>
    </row>
    <row r="75" ht="15.75" customHeight="1">
      <c r="A75" s="5" t="s">
        <v>190</v>
      </c>
      <c r="B75" s="6">
        <v>25.0</v>
      </c>
      <c r="C75" s="7" t="s">
        <v>14</v>
      </c>
      <c r="D75" s="7" t="s">
        <v>68</v>
      </c>
      <c r="E75" s="7" t="s">
        <v>24</v>
      </c>
      <c r="F75" s="7" t="s">
        <v>17</v>
      </c>
      <c r="G75" s="7" t="s">
        <v>18</v>
      </c>
      <c r="H75" s="7"/>
      <c r="I75" s="7"/>
      <c r="J75" s="7"/>
      <c r="K75" s="7"/>
      <c r="L75" s="8" t="s">
        <v>191</v>
      </c>
      <c r="M75" s="9">
        <f t="shared" si="1"/>
        <v>-25</v>
      </c>
    </row>
    <row r="76" ht="15.75" customHeight="1">
      <c r="A76" s="5" t="s">
        <v>192</v>
      </c>
      <c r="B76" s="6">
        <v>42.0</v>
      </c>
      <c r="C76" s="7" t="s">
        <v>14</v>
      </c>
      <c r="D76" s="7" t="s">
        <v>94</v>
      </c>
      <c r="E76" s="7" t="s">
        <v>16</v>
      </c>
      <c r="F76" s="7" t="s">
        <v>17</v>
      </c>
      <c r="G76" s="7" t="s">
        <v>18</v>
      </c>
      <c r="H76" s="7"/>
      <c r="I76" s="7"/>
      <c r="J76" s="7"/>
      <c r="K76" s="7"/>
      <c r="L76" s="8" t="s">
        <v>193</v>
      </c>
      <c r="M76" s="9">
        <f t="shared" si="1"/>
        <v>-42</v>
      </c>
    </row>
    <row r="77" ht="15.75" customHeight="1">
      <c r="A77" s="5" t="s">
        <v>194</v>
      </c>
      <c r="B77" s="6">
        <v>53.2</v>
      </c>
      <c r="C77" s="7" t="s">
        <v>14</v>
      </c>
      <c r="D77" s="7" t="s">
        <v>94</v>
      </c>
      <c r="E77" s="7" t="s">
        <v>24</v>
      </c>
      <c r="F77" s="7" t="s">
        <v>17</v>
      </c>
      <c r="G77" s="7" t="s">
        <v>18</v>
      </c>
      <c r="H77" s="7"/>
      <c r="I77" s="7"/>
      <c r="J77" s="7"/>
      <c r="K77" s="7"/>
      <c r="L77" s="8" t="s">
        <v>195</v>
      </c>
      <c r="M77" s="9">
        <f t="shared" si="1"/>
        <v>-53.2</v>
      </c>
    </row>
    <row r="78" ht="15.75" customHeight="1">
      <c r="A78" s="5" t="s">
        <v>196</v>
      </c>
      <c r="B78" s="6">
        <v>35.0</v>
      </c>
      <c r="C78" s="7" t="s">
        <v>14</v>
      </c>
      <c r="D78" s="7" t="s">
        <v>197</v>
      </c>
      <c r="E78" s="7" t="s">
        <v>16</v>
      </c>
      <c r="F78" s="7" t="s">
        <v>17</v>
      </c>
      <c r="G78" s="7" t="s">
        <v>18</v>
      </c>
      <c r="H78" s="7"/>
      <c r="I78" s="7"/>
      <c r="J78" s="7"/>
      <c r="K78" s="7"/>
      <c r="L78" s="8" t="s">
        <v>198</v>
      </c>
      <c r="M78" s="9">
        <f t="shared" si="1"/>
        <v>-35</v>
      </c>
    </row>
    <row r="79" ht="15.75" customHeight="1">
      <c r="A79" s="5" t="s">
        <v>196</v>
      </c>
      <c r="B79" s="6">
        <v>65.0</v>
      </c>
      <c r="C79" s="7" t="s">
        <v>14</v>
      </c>
      <c r="D79" s="7" t="s">
        <v>68</v>
      </c>
      <c r="E79" s="7" t="s">
        <v>16</v>
      </c>
      <c r="F79" s="7" t="s">
        <v>17</v>
      </c>
      <c r="G79" s="7" t="s">
        <v>18</v>
      </c>
      <c r="H79" s="7"/>
      <c r="I79" s="7"/>
      <c r="J79" s="7"/>
      <c r="K79" s="7"/>
      <c r="L79" s="8" t="s">
        <v>199</v>
      </c>
      <c r="M79" s="9">
        <f t="shared" si="1"/>
        <v>-65</v>
      </c>
    </row>
    <row r="80" ht="15.75" customHeight="1">
      <c r="A80" s="5" t="s">
        <v>200</v>
      </c>
      <c r="B80" s="6">
        <v>25.2</v>
      </c>
      <c r="C80" s="7" t="s">
        <v>14</v>
      </c>
      <c r="D80" s="7" t="s">
        <v>94</v>
      </c>
      <c r="E80" s="7" t="s">
        <v>16</v>
      </c>
      <c r="F80" s="7" t="s">
        <v>17</v>
      </c>
      <c r="G80" s="7" t="s">
        <v>18</v>
      </c>
      <c r="H80" s="7"/>
      <c r="I80" s="7"/>
      <c r="J80" s="7"/>
      <c r="K80" s="7"/>
      <c r="L80" s="8" t="s">
        <v>201</v>
      </c>
      <c r="M80" s="9">
        <f t="shared" si="1"/>
        <v>-25.2</v>
      </c>
    </row>
    <row r="81" ht="15.75" customHeight="1">
      <c r="A81" s="5" t="s">
        <v>202</v>
      </c>
      <c r="B81" s="6">
        <v>100.8</v>
      </c>
      <c r="C81" s="7" t="s">
        <v>14</v>
      </c>
      <c r="D81" s="7" t="s">
        <v>203</v>
      </c>
      <c r="E81" s="7" t="s">
        <v>16</v>
      </c>
      <c r="F81" s="7" t="s">
        <v>17</v>
      </c>
      <c r="G81" s="7" t="s">
        <v>18</v>
      </c>
      <c r="H81" s="7"/>
      <c r="I81" s="7"/>
      <c r="J81" s="7"/>
      <c r="K81" s="7"/>
      <c r="L81" s="8" t="s">
        <v>204</v>
      </c>
      <c r="M81" s="9">
        <f t="shared" si="1"/>
        <v>-100.8</v>
      </c>
    </row>
    <row r="82" ht="15.75" customHeight="1">
      <c r="A82" s="5" t="s">
        <v>205</v>
      </c>
      <c r="B82" s="6">
        <v>550.0</v>
      </c>
      <c r="C82" s="7" t="s">
        <v>14</v>
      </c>
      <c r="D82" s="7" t="s">
        <v>203</v>
      </c>
      <c r="E82" s="7" t="s">
        <v>16</v>
      </c>
      <c r="F82" s="7" t="s">
        <v>17</v>
      </c>
      <c r="G82" s="7" t="s">
        <v>18</v>
      </c>
      <c r="H82" s="7"/>
      <c r="I82" s="7"/>
      <c r="J82" s="7"/>
      <c r="K82" s="7"/>
      <c r="L82" s="8" t="s">
        <v>206</v>
      </c>
      <c r="M82" s="9">
        <f t="shared" si="1"/>
        <v>-550</v>
      </c>
    </row>
    <row r="83" ht="15.75" customHeight="1">
      <c r="A83" s="5" t="s">
        <v>205</v>
      </c>
      <c r="B83" s="6">
        <v>112.0</v>
      </c>
      <c r="C83" s="7" t="s">
        <v>14</v>
      </c>
      <c r="D83" s="7" t="s">
        <v>203</v>
      </c>
      <c r="E83" s="7" t="s">
        <v>24</v>
      </c>
      <c r="F83" s="7" t="s">
        <v>17</v>
      </c>
      <c r="G83" s="7" t="s">
        <v>18</v>
      </c>
      <c r="H83" s="7"/>
      <c r="I83" s="7"/>
      <c r="J83" s="7"/>
      <c r="K83" s="7"/>
      <c r="L83" s="8" t="s">
        <v>207</v>
      </c>
      <c r="M83" s="9">
        <f t="shared" si="1"/>
        <v>-112</v>
      </c>
    </row>
    <row r="84" ht="15.75" customHeight="1">
      <c r="A84" s="5" t="s">
        <v>208</v>
      </c>
      <c r="B84" s="6">
        <v>22.0</v>
      </c>
      <c r="C84" s="7" t="s">
        <v>14</v>
      </c>
      <c r="D84" s="7" t="s">
        <v>209</v>
      </c>
      <c r="E84" s="7" t="s">
        <v>16</v>
      </c>
      <c r="F84" s="7" t="s">
        <v>17</v>
      </c>
      <c r="G84" s="7" t="s">
        <v>18</v>
      </c>
      <c r="H84" s="7"/>
      <c r="I84" s="7"/>
      <c r="J84" s="7"/>
      <c r="K84" s="7"/>
      <c r="L84" s="8" t="s">
        <v>210</v>
      </c>
      <c r="M84" s="9">
        <f t="shared" si="1"/>
        <v>-22</v>
      </c>
    </row>
    <row r="85" ht="15.75" customHeight="1">
      <c r="A85" s="5" t="s">
        <v>211</v>
      </c>
      <c r="B85" s="6">
        <v>505.0</v>
      </c>
      <c r="C85" s="7" t="s">
        <v>14</v>
      </c>
      <c r="D85" s="7" t="s">
        <v>212</v>
      </c>
      <c r="E85" s="7" t="s">
        <v>16</v>
      </c>
      <c r="F85" s="7" t="s">
        <v>17</v>
      </c>
      <c r="G85" s="7" t="s">
        <v>18</v>
      </c>
      <c r="H85" s="7"/>
      <c r="I85" s="7"/>
      <c r="J85" s="7"/>
      <c r="K85" s="7"/>
      <c r="L85" s="8" t="s">
        <v>213</v>
      </c>
      <c r="M85" s="9">
        <f t="shared" si="1"/>
        <v>-505</v>
      </c>
    </row>
    <row r="86" ht="15.75" customHeight="1">
      <c r="A86" s="5" t="s">
        <v>211</v>
      </c>
      <c r="B86" s="6">
        <v>885.0</v>
      </c>
      <c r="C86" s="7" t="s">
        <v>14</v>
      </c>
      <c r="D86" s="7" t="s">
        <v>212</v>
      </c>
      <c r="E86" s="7" t="s">
        <v>16</v>
      </c>
      <c r="F86" s="7" t="s">
        <v>17</v>
      </c>
      <c r="G86" s="7" t="s">
        <v>18</v>
      </c>
      <c r="H86" s="7"/>
      <c r="I86" s="7"/>
      <c r="J86" s="7"/>
      <c r="K86" s="7"/>
      <c r="L86" s="8" t="s">
        <v>214</v>
      </c>
      <c r="M86" s="9">
        <f t="shared" si="1"/>
        <v>-885</v>
      </c>
    </row>
    <row r="87" ht="15.75" customHeight="1">
      <c r="A87" s="5" t="s">
        <v>215</v>
      </c>
      <c r="B87" s="6">
        <v>68.0</v>
      </c>
      <c r="C87" s="7" t="s">
        <v>14</v>
      </c>
      <c r="D87" s="7" t="s">
        <v>68</v>
      </c>
      <c r="E87" s="7" t="s">
        <v>16</v>
      </c>
      <c r="F87" s="7" t="s">
        <v>17</v>
      </c>
      <c r="G87" s="7" t="s">
        <v>18</v>
      </c>
      <c r="H87" s="7"/>
      <c r="I87" s="7"/>
      <c r="J87" s="7"/>
      <c r="K87" s="7"/>
      <c r="L87" s="8" t="s">
        <v>216</v>
      </c>
      <c r="M87" s="9">
        <f t="shared" si="1"/>
        <v>-68</v>
      </c>
    </row>
    <row r="88" ht="15.75" customHeight="1">
      <c r="A88" s="5" t="s">
        <v>217</v>
      </c>
      <c r="B88" s="6">
        <v>290.0</v>
      </c>
      <c r="C88" s="7" t="s">
        <v>14</v>
      </c>
      <c r="D88" s="7" t="s">
        <v>218</v>
      </c>
      <c r="E88" s="7" t="s">
        <v>16</v>
      </c>
      <c r="F88" s="7" t="s">
        <v>17</v>
      </c>
      <c r="G88" s="7" t="s">
        <v>18</v>
      </c>
      <c r="H88" s="7"/>
      <c r="I88" s="7"/>
      <c r="J88" s="7"/>
      <c r="K88" s="7"/>
      <c r="L88" s="8" t="s">
        <v>219</v>
      </c>
      <c r="M88" s="9">
        <f t="shared" si="1"/>
        <v>-290</v>
      </c>
    </row>
    <row r="89" ht="15.75" customHeight="1">
      <c r="A89" s="5" t="s">
        <v>220</v>
      </c>
      <c r="B89" s="6">
        <v>2410.0</v>
      </c>
      <c r="C89" s="7" t="s">
        <v>14</v>
      </c>
      <c r="D89" s="7" t="s">
        <v>221</v>
      </c>
      <c r="E89" s="7" t="s">
        <v>24</v>
      </c>
      <c r="F89" s="7" t="s">
        <v>17</v>
      </c>
      <c r="G89" s="7" t="s">
        <v>18</v>
      </c>
      <c r="H89" s="7"/>
      <c r="I89" s="7"/>
      <c r="J89" s="7"/>
      <c r="K89" s="7"/>
      <c r="L89" s="8" t="s">
        <v>222</v>
      </c>
      <c r="M89" s="9">
        <f t="shared" si="1"/>
        <v>-2410</v>
      </c>
    </row>
    <row r="90" ht="15.75" customHeight="1">
      <c r="A90" s="5" t="s">
        <v>220</v>
      </c>
      <c r="B90" s="6">
        <v>59.0</v>
      </c>
      <c r="C90" s="7" t="s">
        <v>14</v>
      </c>
      <c r="D90" s="7" t="s">
        <v>223</v>
      </c>
      <c r="E90" s="7" t="s">
        <v>16</v>
      </c>
      <c r="F90" s="7" t="s">
        <v>17</v>
      </c>
      <c r="G90" s="7" t="s">
        <v>18</v>
      </c>
      <c r="H90" s="7"/>
      <c r="I90" s="7"/>
      <c r="J90" s="7"/>
      <c r="K90" s="7"/>
      <c r="L90" s="8" t="s">
        <v>224</v>
      </c>
      <c r="M90" s="9">
        <f t="shared" si="1"/>
        <v>-59</v>
      </c>
    </row>
    <row r="91" ht="15.75" customHeight="1">
      <c r="A91" s="5" t="s">
        <v>225</v>
      </c>
      <c r="B91" s="6">
        <v>114.0</v>
      </c>
      <c r="C91" s="7" t="s">
        <v>14</v>
      </c>
      <c r="D91" s="7" t="s">
        <v>68</v>
      </c>
      <c r="E91" s="7" t="s">
        <v>16</v>
      </c>
      <c r="F91" s="7" t="s">
        <v>17</v>
      </c>
      <c r="G91" s="7" t="s">
        <v>18</v>
      </c>
      <c r="H91" s="7"/>
      <c r="I91" s="7"/>
      <c r="J91" s="7"/>
      <c r="K91" s="7"/>
      <c r="L91" s="8" t="s">
        <v>226</v>
      </c>
      <c r="M91" s="9">
        <f t="shared" si="1"/>
        <v>-114</v>
      </c>
    </row>
    <row r="92" ht="15.75" customHeight="1">
      <c r="A92" s="5" t="s">
        <v>225</v>
      </c>
      <c r="B92" s="6">
        <v>33.6</v>
      </c>
      <c r="C92" s="7" t="s">
        <v>107</v>
      </c>
      <c r="D92" s="7" t="s">
        <v>227</v>
      </c>
      <c r="E92" s="7" t="s">
        <v>16</v>
      </c>
      <c r="F92" s="7" t="s">
        <v>17</v>
      </c>
      <c r="G92" s="7" t="s">
        <v>18</v>
      </c>
      <c r="H92" s="7"/>
      <c r="I92" s="7"/>
      <c r="J92" s="7"/>
      <c r="K92" s="7"/>
      <c r="L92" s="8" t="s">
        <v>228</v>
      </c>
      <c r="M92" s="9">
        <f t="shared" si="1"/>
        <v>-33.6</v>
      </c>
    </row>
    <row r="93" ht="15.75" customHeight="1">
      <c r="A93" s="5" t="s">
        <v>229</v>
      </c>
      <c r="B93" s="6">
        <v>200.0</v>
      </c>
      <c r="C93" s="7" t="s">
        <v>14</v>
      </c>
      <c r="D93" s="7" t="s">
        <v>230</v>
      </c>
      <c r="E93" s="7" t="s">
        <v>42</v>
      </c>
      <c r="F93" s="7" t="s">
        <v>43</v>
      </c>
      <c r="G93" s="7" t="s">
        <v>44</v>
      </c>
      <c r="H93" s="7"/>
      <c r="I93" s="7"/>
      <c r="J93" s="7"/>
      <c r="K93" s="7"/>
      <c r="L93" s="8" t="s">
        <v>231</v>
      </c>
      <c r="M93" s="9">
        <f t="shared" si="1"/>
        <v>200</v>
      </c>
    </row>
    <row r="94" ht="15.75" customHeight="1">
      <c r="A94" s="5" t="s">
        <v>232</v>
      </c>
      <c r="B94" s="6">
        <v>200.0</v>
      </c>
      <c r="C94" s="7" t="s">
        <v>14</v>
      </c>
      <c r="D94" s="7" t="s">
        <v>233</v>
      </c>
      <c r="E94" s="7" t="s">
        <v>42</v>
      </c>
      <c r="F94" s="7" t="s">
        <v>43</v>
      </c>
      <c r="G94" s="7" t="s">
        <v>44</v>
      </c>
      <c r="H94" s="7"/>
      <c r="I94" s="7"/>
      <c r="J94" s="7"/>
      <c r="K94" s="7"/>
      <c r="L94" s="8" t="s">
        <v>234</v>
      </c>
      <c r="M94" s="9">
        <f t="shared" si="1"/>
        <v>200</v>
      </c>
    </row>
    <row r="95" ht="15.75" customHeight="1">
      <c r="A95" s="5" t="s">
        <v>232</v>
      </c>
      <c r="B95" s="6">
        <v>200.0</v>
      </c>
      <c r="C95" s="7" t="s">
        <v>14</v>
      </c>
      <c r="D95" s="7" t="s">
        <v>235</v>
      </c>
      <c r="E95" s="7" t="s">
        <v>42</v>
      </c>
      <c r="F95" s="7" t="s">
        <v>43</v>
      </c>
      <c r="G95" s="7" t="s">
        <v>44</v>
      </c>
      <c r="H95" s="7"/>
      <c r="I95" s="7"/>
      <c r="J95" s="7"/>
      <c r="K95" s="7"/>
      <c r="L95" s="8" t="s">
        <v>236</v>
      </c>
      <c r="M95" s="9">
        <f t="shared" si="1"/>
        <v>200</v>
      </c>
    </row>
    <row r="96" ht="15.75" customHeight="1">
      <c r="A96" s="5" t="s">
        <v>232</v>
      </c>
      <c r="B96" s="6">
        <v>200.0</v>
      </c>
      <c r="C96" s="7" t="s">
        <v>14</v>
      </c>
      <c r="D96" s="7" t="s">
        <v>235</v>
      </c>
      <c r="E96" s="7" t="s">
        <v>42</v>
      </c>
      <c r="F96" s="7" t="s">
        <v>43</v>
      </c>
      <c r="G96" s="7" t="s">
        <v>44</v>
      </c>
      <c r="H96" s="7"/>
      <c r="I96" s="7"/>
      <c r="J96" s="7"/>
      <c r="K96" s="7"/>
      <c r="L96" s="8" t="s">
        <v>237</v>
      </c>
      <c r="M96" s="9">
        <f t="shared" si="1"/>
        <v>200</v>
      </c>
    </row>
    <row r="97" ht="15.75" customHeight="1">
      <c r="A97" s="5" t="s">
        <v>238</v>
      </c>
      <c r="B97" s="6">
        <v>26.6</v>
      </c>
      <c r="C97" s="7" t="s">
        <v>14</v>
      </c>
      <c r="D97" s="7" t="s">
        <v>94</v>
      </c>
      <c r="E97" s="7" t="s">
        <v>16</v>
      </c>
      <c r="F97" s="7" t="s">
        <v>17</v>
      </c>
      <c r="G97" s="7" t="s">
        <v>18</v>
      </c>
      <c r="H97" s="7"/>
      <c r="I97" s="7"/>
      <c r="J97" s="7"/>
      <c r="K97" s="7"/>
      <c r="L97" s="8" t="s">
        <v>239</v>
      </c>
      <c r="M97" s="9">
        <f t="shared" si="1"/>
        <v>-26.6</v>
      </c>
    </row>
    <row r="98" ht="15.75" customHeight="1">
      <c r="A98" s="5" t="s">
        <v>240</v>
      </c>
      <c r="B98" s="6">
        <v>345.0</v>
      </c>
      <c r="C98" s="7" t="s">
        <v>14</v>
      </c>
      <c r="D98" s="7" t="s">
        <v>241</v>
      </c>
      <c r="E98" s="10" t="s">
        <v>146</v>
      </c>
      <c r="F98" s="7" t="s">
        <v>17</v>
      </c>
      <c r="G98" s="10" t="s">
        <v>146</v>
      </c>
      <c r="H98" s="10"/>
      <c r="I98" s="10"/>
      <c r="J98" s="10"/>
      <c r="K98" s="10"/>
      <c r="L98" s="8" t="s">
        <v>242</v>
      </c>
      <c r="M98" s="9">
        <f t="shared" si="1"/>
        <v>-345</v>
      </c>
    </row>
    <row r="99" ht="15.75" customHeight="1">
      <c r="A99" s="5" t="s">
        <v>240</v>
      </c>
      <c r="B99" s="6">
        <v>130.0</v>
      </c>
      <c r="C99" s="7" t="s">
        <v>14</v>
      </c>
      <c r="D99" s="7" t="s">
        <v>94</v>
      </c>
      <c r="E99" s="7" t="s">
        <v>16</v>
      </c>
      <c r="F99" s="7" t="s">
        <v>17</v>
      </c>
      <c r="G99" s="7" t="s">
        <v>18</v>
      </c>
      <c r="H99" s="7"/>
      <c r="I99" s="7"/>
      <c r="J99" s="7"/>
      <c r="K99" s="7"/>
      <c r="L99" s="8" t="s">
        <v>243</v>
      </c>
      <c r="M99" s="9">
        <f t="shared" si="1"/>
        <v>-130</v>
      </c>
    </row>
    <row r="100" ht="15.75" customHeight="1">
      <c r="A100" s="5" t="s">
        <v>240</v>
      </c>
      <c r="B100" s="6">
        <v>60.0</v>
      </c>
      <c r="C100" s="7" t="s">
        <v>107</v>
      </c>
      <c r="D100" s="7" t="s">
        <v>244</v>
      </c>
      <c r="E100" s="7" t="s">
        <v>16</v>
      </c>
      <c r="F100" s="7" t="s">
        <v>17</v>
      </c>
      <c r="G100" s="7" t="s">
        <v>18</v>
      </c>
      <c r="H100" s="7"/>
      <c r="I100" s="7"/>
      <c r="J100" s="7"/>
      <c r="K100" s="7"/>
      <c r="L100" s="8" t="s">
        <v>245</v>
      </c>
      <c r="M100" s="9">
        <f t="shared" si="1"/>
        <v>-60</v>
      </c>
    </row>
    <row r="101" ht="15.75" customHeight="1">
      <c r="A101" s="5" t="s">
        <v>246</v>
      </c>
      <c r="B101" s="6">
        <v>1.0</v>
      </c>
      <c r="C101" s="7" t="s">
        <v>107</v>
      </c>
      <c r="D101" s="7" t="s">
        <v>247</v>
      </c>
      <c r="E101" s="7" t="s">
        <v>16</v>
      </c>
      <c r="F101" s="7" t="s">
        <v>17</v>
      </c>
      <c r="G101" s="7" t="s">
        <v>18</v>
      </c>
      <c r="H101" s="7"/>
      <c r="I101" s="7"/>
      <c r="J101" s="7"/>
      <c r="K101" s="7"/>
      <c r="L101" s="8" t="s">
        <v>248</v>
      </c>
      <c r="M101" s="9">
        <f t="shared" si="1"/>
        <v>-1</v>
      </c>
    </row>
    <row r="102" ht="15.75" customHeight="1">
      <c r="A102" s="5" t="s">
        <v>249</v>
      </c>
      <c r="B102" s="6">
        <v>200.0</v>
      </c>
      <c r="C102" s="7" t="s">
        <v>14</v>
      </c>
      <c r="D102" s="7" t="s">
        <v>250</v>
      </c>
      <c r="E102" s="7" t="s">
        <v>42</v>
      </c>
      <c r="F102" s="7" t="s">
        <v>43</v>
      </c>
      <c r="G102" s="7" t="s">
        <v>44</v>
      </c>
      <c r="H102" s="7"/>
      <c r="I102" s="7"/>
      <c r="J102" s="7"/>
      <c r="K102" s="7"/>
      <c r="L102" s="8" t="s">
        <v>251</v>
      </c>
      <c r="M102" s="9">
        <f t="shared" si="1"/>
        <v>200</v>
      </c>
    </row>
    <row r="103" ht="15.75" customHeight="1">
      <c r="A103" s="5" t="s">
        <v>252</v>
      </c>
      <c r="B103" s="6">
        <v>20.0</v>
      </c>
      <c r="C103" s="7" t="s">
        <v>14</v>
      </c>
      <c r="D103" s="7" t="s">
        <v>253</v>
      </c>
      <c r="E103" s="7" t="s">
        <v>42</v>
      </c>
      <c r="F103" s="7" t="s">
        <v>43</v>
      </c>
      <c r="G103" s="7" t="s">
        <v>44</v>
      </c>
      <c r="H103" s="7"/>
      <c r="I103" s="7"/>
      <c r="J103" s="7"/>
      <c r="K103" s="7"/>
      <c r="L103" s="8" t="s">
        <v>254</v>
      </c>
      <c r="M103" s="9">
        <f t="shared" si="1"/>
        <v>20</v>
      </c>
    </row>
    <row r="104" ht="15.75" customHeight="1">
      <c r="A104" s="5" t="s">
        <v>252</v>
      </c>
      <c r="B104" s="6">
        <v>230.0</v>
      </c>
      <c r="C104" s="7" t="s">
        <v>14</v>
      </c>
      <c r="D104" s="7" t="s">
        <v>255</v>
      </c>
      <c r="E104" s="7" t="s">
        <v>42</v>
      </c>
      <c r="F104" s="7" t="s">
        <v>43</v>
      </c>
      <c r="G104" s="7" t="s">
        <v>44</v>
      </c>
      <c r="H104" s="7"/>
      <c r="I104" s="7"/>
      <c r="J104" s="7"/>
      <c r="K104" s="7"/>
      <c r="L104" s="8" t="s">
        <v>256</v>
      </c>
      <c r="M104" s="9">
        <f t="shared" si="1"/>
        <v>230</v>
      </c>
    </row>
    <row r="105" ht="15.75" customHeight="1">
      <c r="A105" s="5" t="s">
        <v>252</v>
      </c>
      <c r="B105" s="6">
        <v>180.0</v>
      </c>
      <c r="C105" s="7" t="s">
        <v>14</v>
      </c>
      <c r="D105" s="7" t="s">
        <v>253</v>
      </c>
      <c r="E105" s="7" t="s">
        <v>42</v>
      </c>
      <c r="F105" s="7" t="s">
        <v>43</v>
      </c>
      <c r="G105" s="7" t="s">
        <v>44</v>
      </c>
      <c r="H105" s="7"/>
      <c r="I105" s="7"/>
      <c r="J105" s="7"/>
      <c r="K105" s="7"/>
      <c r="L105" s="8" t="s">
        <v>257</v>
      </c>
      <c r="M105" s="9">
        <f t="shared" si="1"/>
        <v>180</v>
      </c>
    </row>
    <row r="106" ht="15.75" customHeight="1">
      <c r="A106" s="5" t="s">
        <v>252</v>
      </c>
      <c r="B106" s="6">
        <v>200.0</v>
      </c>
      <c r="C106" s="7" t="s">
        <v>14</v>
      </c>
      <c r="D106" s="7" t="s">
        <v>258</v>
      </c>
      <c r="E106" s="7" t="s">
        <v>42</v>
      </c>
      <c r="F106" s="7" t="s">
        <v>43</v>
      </c>
      <c r="G106" s="7" t="s">
        <v>44</v>
      </c>
      <c r="H106" s="7"/>
      <c r="I106" s="7"/>
      <c r="J106" s="7"/>
      <c r="K106" s="7"/>
      <c r="L106" s="8" t="s">
        <v>259</v>
      </c>
      <c r="M106" s="9">
        <f t="shared" si="1"/>
        <v>200</v>
      </c>
    </row>
    <row r="107" ht="15.75" customHeight="1">
      <c r="A107" s="5" t="s">
        <v>252</v>
      </c>
      <c r="B107" s="6">
        <v>230.0</v>
      </c>
      <c r="C107" s="7" t="s">
        <v>14</v>
      </c>
      <c r="D107" s="7" t="s">
        <v>260</v>
      </c>
      <c r="E107" s="7" t="s">
        <v>42</v>
      </c>
      <c r="F107" s="7" t="s">
        <v>43</v>
      </c>
      <c r="G107" s="7" t="s">
        <v>44</v>
      </c>
      <c r="H107" s="7"/>
      <c r="I107" s="7"/>
      <c r="J107" s="7"/>
      <c r="K107" s="7"/>
      <c r="L107" s="8" t="s">
        <v>261</v>
      </c>
      <c r="M107" s="9">
        <f t="shared" si="1"/>
        <v>230</v>
      </c>
    </row>
    <row r="108" ht="15.75" customHeight="1">
      <c r="A108" s="5" t="s">
        <v>262</v>
      </c>
      <c r="B108" s="6">
        <v>22.0</v>
      </c>
      <c r="C108" s="7" t="s">
        <v>14</v>
      </c>
      <c r="D108" s="7" t="s">
        <v>86</v>
      </c>
      <c r="E108" s="7" t="s">
        <v>16</v>
      </c>
      <c r="F108" s="7" t="s">
        <v>17</v>
      </c>
      <c r="G108" s="7" t="s">
        <v>18</v>
      </c>
      <c r="H108" s="7"/>
      <c r="I108" s="7"/>
      <c r="J108" s="7"/>
      <c r="K108" s="7"/>
      <c r="L108" s="8" t="s">
        <v>263</v>
      </c>
      <c r="M108" s="9">
        <f t="shared" si="1"/>
        <v>-22</v>
      </c>
    </row>
    <row r="109" ht="15.75" customHeight="1">
      <c r="A109" s="5" t="s">
        <v>264</v>
      </c>
      <c r="B109" s="6">
        <v>20.0</v>
      </c>
      <c r="C109" s="7" t="s">
        <v>107</v>
      </c>
      <c r="D109" s="7" t="s">
        <v>110</v>
      </c>
      <c r="E109" s="7" t="s">
        <v>24</v>
      </c>
      <c r="F109" s="7" t="s">
        <v>17</v>
      </c>
      <c r="G109" s="7" t="s">
        <v>18</v>
      </c>
      <c r="H109" s="7"/>
      <c r="I109" s="7"/>
      <c r="J109" s="7"/>
      <c r="K109" s="7"/>
      <c r="L109" s="8" t="s">
        <v>265</v>
      </c>
      <c r="M109" s="9">
        <f t="shared" si="1"/>
        <v>-20</v>
      </c>
    </row>
    <row r="110" ht="15.75" customHeight="1">
      <c r="A110" s="5" t="s">
        <v>266</v>
      </c>
      <c r="B110" s="6">
        <v>40.0</v>
      </c>
      <c r="C110" s="7" t="s">
        <v>14</v>
      </c>
      <c r="D110" s="7" t="s">
        <v>233</v>
      </c>
      <c r="E110" s="7" t="s">
        <v>42</v>
      </c>
      <c r="F110" s="7" t="s">
        <v>43</v>
      </c>
      <c r="G110" s="7" t="s">
        <v>44</v>
      </c>
      <c r="H110" s="7"/>
      <c r="I110" s="7"/>
      <c r="J110" s="7"/>
      <c r="K110" s="7"/>
      <c r="L110" s="8" t="s">
        <v>267</v>
      </c>
      <c r="M110" s="9">
        <f t="shared" si="1"/>
        <v>40</v>
      </c>
    </row>
    <row r="111" ht="15.75" customHeight="1">
      <c r="A111" s="5" t="s">
        <v>266</v>
      </c>
      <c r="B111" s="6">
        <v>35.0</v>
      </c>
      <c r="C111" s="7" t="s">
        <v>14</v>
      </c>
      <c r="D111" s="7" t="s">
        <v>253</v>
      </c>
      <c r="E111" s="7" t="s">
        <v>42</v>
      </c>
      <c r="F111" s="7" t="s">
        <v>43</v>
      </c>
      <c r="G111" s="7" t="s">
        <v>44</v>
      </c>
      <c r="H111" s="7"/>
      <c r="I111" s="7"/>
      <c r="J111" s="7"/>
      <c r="K111" s="7"/>
      <c r="L111" s="8" t="s">
        <v>268</v>
      </c>
      <c r="M111" s="9">
        <f t="shared" si="1"/>
        <v>35</v>
      </c>
    </row>
    <row r="112" ht="15.75" customHeight="1">
      <c r="A112" s="5" t="s">
        <v>269</v>
      </c>
      <c r="B112" s="6">
        <v>220.1</v>
      </c>
      <c r="C112" s="7" t="s">
        <v>14</v>
      </c>
      <c r="D112" s="7" t="s">
        <v>94</v>
      </c>
      <c r="E112" s="7" t="s">
        <v>24</v>
      </c>
      <c r="F112" s="7" t="s">
        <v>17</v>
      </c>
      <c r="G112" s="7" t="s">
        <v>18</v>
      </c>
      <c r="H112" s="7"/>
      <c r="I112" s="7"/>
      <c r="J112" s="7"/>
      <c r="K112" s="7"/>
      <c r="L112" s="8" t="s">
        <v>270</v>
      </c>
      <c r="M112" s="9">
        <f t="shared" si="1"/>
        <v>-220.1</v>
      </c>
    </row>
    <row r="113" ht="15.75" customHeight="1">
      <c r="A113" s="5" t="s">
        <v>269</v>
      </c>
      <c r="B113" s="6">
        <v>83.0</v>
      </c>
      <c r="C113" s="7" t="s">
        <v>14</v>
      </c>
      <c r="D113" s="7" t="s">
        <v>250</v>
      </c>
      <c r="E113" s="7" t="s">
        <v>42</v>
      </c>
      <c r="F113" s="7" t="s">
        <v>43</v>
      </c>
      <c r="G113" s="7" t="s">
        <v>44</v>
      </c>
      <c r="H113" s="7"/>
      <c r="I113" s="7"/>
      <c r="J113" s="7"/>
      <c r="K113" s="7"/>
      <c r="L113" s="8" t="s">
        <v>271</v>
      </c>
      <c r="M113" s="9">
        <f t="shared" si="1"/>
        <v>83</v>
      </c>
    </row>
    <row r="114" ht="15.75" customHeight="1">
      <c r="A114" s="5" t="s">
        <v>272</v>
      </c>
      <c r="B114" s="6">
        <v>21.0</v>
      </c>
      <c r="C114" s="7" t="s">
        <v>14</v>
      </c>
      <c r="D114" s="7" t="s">
        <v>86</v>
      </c>
      <c r="E114" s="7" t="s">
        <v>16</v>
      </c>
      <c r="F114" s="7" t="s">
        <v>17</v>
      </c>
      <c r="G114" s="7" t="s">
        <v>18</v>
      </c>
      <c r="H114" s="7"/>
      <c r="I114" s="7"/>
      <c r="J114" s="7"/>
      <c r="K114" s="7"/>
      <c r="L114" s="8" t="s">
        <v>273</v>
      </c>
      <c r="M114" s="9">
        <f t="shared" si="1"/>
        <v>-21</v>
      </c>
    </row>
    <row r="115" ht="15.75" customHeight="1">
      <c r="A115" s="5" t="s">
        <v>274</v>
      </c>
      <c r="B115" s="6">
        <v>17.96</v>
      </c>
      <c r="C115" s="7" t="s">
        <v>14</v>
      </c>
      <c r="D115" s="7" t="s">
        <v>62</v>
      </c>
      <c r="E115" s="7" t="s">
        <v>16</v>
      </c>
      <c r="F115" s="7" t="s">
        <v>17</v>
      </c>
      <c r="G115" s="7" t="s">
        <v>18</v>
      </c>
      <c r="H115" s="7"/>
      <c r="I115" s="7"/>
      <c r="J115" s="7"/>
      <c r="K115" s="7"/>
      <c r="L115" s="8" t="s">
        <v>275</v>
      </c>
      <c r="M115" s="9">
        <f t="shared" si="1"/>
        <v>-17.96</v>
      </c>
    </row>
    <row r="116" ht="15.75" customHeight="1">
      <c r="A116" s="5" t="s">
        <v>274</v>
      </c>
      <c r="B116" s="6">
        <v>1537.0</v>
      </c>
      <c r="C116" s="7" t="s">
        <v>14</v>
      </c>
      <c r="D116" s="7" t="s">
        <v>276</v>
      </c>
      <c r="E116" s="7" t="s">
        <v>24</v>
      </c>
      <c r="F116" s="7" t="s">
        <v>17</v>
      </c>
      <c r="G116" s="7" t="s">
        <v>18</v>
      </c>
      <c r="H116" s="7"/>
      <c r="I116" s="7"/>
      <c r="J116" s="7"/>
      <c r="K116" s="7"/>
      <c r="L116" s="8" t="s">
        <v>277</v>
      </c>
      <c r="M116" s="9">
        <f t="shared" si="1"/>
        <v>-1537</v>
      </c>
    </row>
    <row r="117" ht="15.75" customHeight="1">
      <c r="A117" s="5" t="s">
        <v>274</v>
      </c>
      <c r="B117" s="6">
        <v>700.0</v>
      </c>
      <c r="C117" s="7" t="s">
        <v>14</v>
      </c>
      <c r="D117" s="7" t="s">
        <v>235</v>
      </c>
      <c r="E117" s="7" t="s">
        <v>42</v>
      </c>
      <c r="F117" s="7" t="s">
        <v>43</v>
      </c>
      <c r="G117" s="7" t="s">
        <v>44</v>
      </c>
      <c r="H117" s="7"/>
      <c r="I117" s="7"/>
      <c r="J117" s="7"/>
      <c r="K117" s="7"/>
      <c r="L117" s="8" t="s">
        <v>278</v>
      </c>
      <c r="M117" s="9">
        <f t="shared" si="1"/>
        <v>700</v>
      </c>
    </row>
    <row r="118" ht="15.75" customHeight="1">
      <c r="A118" s="5" t="s">
        <v>279</v>
      </c>
      <c r="B118" s="6">
        <v>42.0</v>
      </c>
      <c r="C118" s="7" t="s">
        <v>14</v>
      </c>
      <c r="D118" s="7" t="s">
        <v>86</v>
      </c>
      <c r="E118" s="7" t="s">
        <v>16</v>
      </c>
      <c r="F118" s="7" t="s">
        <v>17</v>
      </c>
      <c r="G118" s="7" t="s">
        <v>18</v>
      </c>
      <c r="H118" s="7"/>
      <c r="I118" s="7"/>
      <c r="J118" s="7"/>
      <c r="K118" s="7"/>
      <c r="L118" s="8" t="s">
        <v>280</v>
      </c>
      <c r="M118" s="9">
        <f t="shared" si="1"/>
        <v>-42</v>
      </c>
    </row>
    <row r="119" ht="15.75" customHeight="1">
      <c r="A119" s="5" t="s">
        <v>281</v>
      </c>
      <c r="B119" s="6">
        <v>89.0</v>
      </c>
      <c r="C119" s="7" t="s">
        <v>14</v>
      </c>
      <c r="D119" s="7" t="s">
        <v>282</v>
      </c>
      <c r="E119" s="7" t="s">
        <v>24</v>
      </c>
      <c r="F119" s="7" t="s">
        <v>17</v>
      </c>
      <c r="G119" s="7" t="s">
        <v>18</v>
      </c>
      <c r="H119" s="7"/>
      <c r="I119" s="7"/>
      <c r="J119" s="7"/>
      <c r="K119" s="7"/>
      <c r="L119" s="8" t="s">
        <v>283</v>
      </c>
      <c r="M119" s="9">
        <f t="shared" si="1"/>
        <v>-89</v>
      </c>
    </row>
    <row r="120" ht="15.75" customHeight="1">
      <c r="A120" s="5" t="s">
        <v>281</v>
      </c>
      <c r="B120" s="6">
        <v>5.0</v>
      </c>
      <c r="C120" s="7" t="s">
        <v>14</v>
      </c>
      <c r="D120" s="7" t="s">
        <v>284</v>
      </c>
      <c r="E120" s="7" t="s">
        <v>24</v>
      </c>
      <c r="F120" s="7" t="s">
        <v>17</v>
      </c>
      <c r="G120" s="7" t="s">
        <v>18</v>
      </c>
      <c r="H120" s="7"/>
      <c r="I120" s="7"/>
      <c r="J120" s="7"/>
      <c r="K120" s="7"/>
      <c r="L120" s="8" t="s">
        <v>285</v>
      </c>
      <c r="M120" s="9">
        <f t="shared" si="1"/>
        <v>-5</v>
      </c>
    </row>
    <row r="121" ht="15.75" customHeight="1">
      <c r="A121" s="5" t="s">
        <v>286</v>
      </c>
      <c r="B121" s="6">
        <v>110.0</v>
      </c>
      <c r="C121" s="7" t="s">
        <v>14</v>
      </c>
      <c r="D121" s="7" t="s">
        <v>287</v>
      </c>
      <c r="E121" s="7" t="s">
        <v>24</v>
      </c>
      <c r="F121" s="7" t="s">
        <v>17</v>
      </c>
      <c r="G121" s="7" t="s">
        <v>18</v>
      </c>
      <c r="H121" s="7"/>
      <c r="I121" s="7"/>
      <c r="J121" s="7"/>
      <c r="K121" s="7"/>
      <c r="L121" s="8" t="s">
        <v>288</v>
      </c>
      <c r="M121" s="9">
        <f t="shared" si="1"/>
        <v>-110</v>
      </c>
    </row>
    <row r="122" ht="15.75" customHeight="1">
      <c r="A122" s="5" t="s">
        <v>289</v>
      </c>
      <c r="B122" s="6">
        <v>30.0</v>
      </c>
      <c r="C122" s="7" t="s">
        <v>14</v>
      </c>
      <c r="D122" s="7" t="s">
        <v>258</v>
      </c>
      <c r="E122" s="7" t="s">
        <v>42</v>
      </c>
      <c r="F122" s="7" t="s">
        <v>43</v>
      </c>
      <c r="G122" s="7" t="s">
        <v>44</v>
      </c>
      <c r="H122" s="7"/>
      <c r="I122" s="7"/>
      <c r="J122" s="7"/>
      <c r="K122" s="7"/>
      <c r="L122" s="8" t="s">
        <v>290</v>
      </c>
      <c r="M122" s="9">
        <f t="shared" si="1"/>
        <v>30</v>
      </c>
    </row>
    <row r="123" ht="15.75" customHeight="1">
      <c r="A123" s="5" t="s">
        <v>291</v>
      </c>
      <c r="B123" s="6">
        <v>85.9</v>
      </c>
      <c r="C123" s="7" t="s">
        <v>14</v>
      </c>
      <c r="D123" s="7" t="s">
        <v>94</v>
      </c>
      <c r="E123" s="7" t="s">
        <v>16</v>
      </c>
      <c r="F123" s="7" t="s">
        <v>17</v>
      </c>
      <c r="G123" s="7" t="s">
        <v>18</v>
      </c>
      <c r="H123" s="7"/>
      <c r="I123" s="7"/>
      <c r="J123" s="7"/>
      <c r="K123" s="7"/>
      <c r="L123" s="8" t="s">
        <v>292</v>
      </c>
      <c r="M123" s="9">
        <f t="shared" si="1"/>
        <v>-85.9</v>
      </c>
    </row>
    <row r="124" ht="15.75" customHeight="1">
      <c r="A124" s="5" t="s">
        <v>291</v>
      </c>
      <c r="B124" s="6">
        <v>30.0</v>
      </c>
      <c r="C124" s="7" t="s">
        <v>14</v>
      </c>
      <c r="D124" s="7" t="s">
        <v>253</v>
      </c>
      <c r="E124" s="7" t="s">
        <v>42</v>
      </c>
      <c r="F124" s="7" t="s">
        <v>43</v>
      </c>
      <c r="G124" s="7" t="s">
        <v>44</v>
      </c>
      <c r="H124" s="7"/>
      <c r="I124" s="7"/>
      <c r="J124" s="7"/>
      <c r="K124" s="7"/>
      <c r="L124" s="8" t="s">
        <v>293</v>
      </c>
      <c r="M124" s="9">
        <f t="shared" si="1"/>
        <v>30</v>
      </c>
    </row>
    <row r="125" ht="15.75" customHeight="1">
      <c r="A125" s="5" t="s">
        <v>294</v>
      </c>
      <c r="B125" s="6">
        <v>16.32</v>
      </c>
      <c r="C125" s="7" t="s">
        <v>107</v>
      </c>
      <c r="D125" s="7" t="s">
        <v>295</v>
      </c>
      <c r="E125" s="7" t="s">
        <v>16</v>
      </c>
      <c r="F125" s="7" t="s">
        <v>17</v>
      </c>
      <c r="G125" s="7" t="s">
        <v>18</v>
      </c>
      <c r="H125" s="7"/>
      <c r="I125" s="7"/>
      <c r="J125" s="7"/>
      <c r="K125" s="7"/>
      <c r="L125" s="8" t="s">
        <v>296</v>
      </c>
      <c r="M125" s="9">
        <f t="shared" si="1"/>
        <v>-16.32</v>
      </c>
    </row>
    <row r="126" ht="15.75" customHeight="1">
      <c r="A126" s="5" t="s">
        <v>294</v>
      </c>
      <c r="B126" s="6">
        <v>60.0</v>
      </c>
      <c r="C126" s="7" t="s">
        <v>14</v>
      </c>
      <c r="D126" s="7" t="s">
        <v>68</v>
      </c>
      <c r="E126" s="7" t="s">
        <v>24</v>
      </c>
      <c r="F126" s="7" t="s">
        <v>17</v>
      </c>
      <c r="G126" s="7" t="s">
        <v>18</v>
      </c>
      <c r="H126" s="7"/>
      <c r="I126" s="7"/>
      <c r="J126" s="7"/>
      <c r="K126" s="7"/>
      <c r="L126" s="8" t="s">
        <v>297</v>
      </c>
      <c r="M126" s="9">
        <f t="shared" si="1"/>
        <v>-60</v>
      </c>
    </row>
    <row r="127" ht="15.75" customHeight="1">
      <c r="A127" s="5" t="s">
        <v>298</v>
      </c>
      <c r="B127" s="6">
        <v>137.5</v>
      </c>
      <c r="C127" s="7" t="s">
        <v>14</v>
      </c>
      <c r="D127" s="7" t="s">
        <v>68</v>
      </c>
      <c r="E127" s="7" t="s">
        <v>16</v>
      </c>
      <c r="F127" s="7" t="s">
        <v>17</v>
      </c>
      <c r="G127" s="7" t="s">
        <v>18</v>
      </c>
      <c r="H127" s="7"/>
      <c r="I127" s="7"/>
      <c r="J127" s="7"/>
      <c r="K127" s="7"/>
      <c r="L127" s="8" t="s">
        <v>299</v>
      </c>
      <c r="M127" s="9">
        <f t="shared" si="1"/>
        <v>-137.5</v>
      </c>
    </row>
    <row r="128" ht="15.75" customHeight="1">
      <c r="A128" s="5" t="s">
        <v>300</v>
      </c>
      <c r="B128" s="6">
        <v>79.0</v>
      </c>
      <c r="C128" s="7" t="s">
        <v>14</v>
      </c>
      <c r="D128" s="7" t="s">
        <v>94</v>
      </c>
      <c r="E128" s="7" t="s">
        <v>24</v>
      </c>
      <c r="F128" s="7" t="s">
        <v>17</v>
      </c>
      <c r="G128" s="7" t="s">
        <v>18</v>
      </c>
      <c r="H128" s="7"/>
      <c r="I128" s="7"/>
      <c r="J128" s="7"/>
      <c r="K128" s="7"/>
      <c r="L128" s="8" t="s">
        <v>301</v>
      </c>
      <c r="M128" s="9">
        <f t="shared" si="1"/>
        <v>-79</v>
      </c>
    </row>
    <row r="129" ht="15.75" customHeight="1">
      <c r="A129" s="5" t="s">
        <v>302</v>
      </c>
      <c r="B129" s="6">
        <v>309.0</v>
      </c>
      <c r="C129" s="7" t="s">
        <v>14</v>
      </c>
      <c r="D129" s="7" t="s">
        <v>303</v>
      </c>
      <c r="E129" s="7" t="s">
        <v>24</v>
      </c>
      <c r="F129" s="7" t="s">
        <v>17</v>
      </c>
      <c r="G129" s="7" t="s">
        <v>18</v>
      </c>
      <c r="H129" s="7"/>
      <c r="I129" s="7"/>
      <c r="J129" s="7"/>
      <c r="K129" s="7"/>
      <c r="L129" s="8" t="s">
        <v>304</v>
      </c>
      <c r="M129" s="9">
        <f t="shared" si="1"/>
        <v>-309</v>
      </c>
    </row>
    <row r="130" ht="15.75" customHeight="1">
      <c r="A130" s="5" t="s">
        <v>305</v>
      </c>
      <c r="B130" s="6">
        <v>70.9</v>
      </c>
      <c r="C130" s="7" t="s">
        <v>14</v>
      </c>
      <c r="D130" s="7" t="s">
        <v>94</v>
      </c>
      <c r="E130" s="7" t="s">
        <v>16</v>
      </c>
      <c r="F130" s="7" t="s">
        <v>17</v>
      </c>
      <c r="G130" s="7" t="s">
        <v>18</v>
      </c>
      <c r="H130" s="7"/>
      <c r="I130" s="7"/>
      <c r="J130" s="7"/>
      <c r="K130" s="7"/>
      <c r="L130" s="8" t="s">
        <v>306</v>
      </c>
      <c r="M130" s="9">
        <f t="shared" si="1"/>
        <v>-70.9</v>
      </c>
    </row>
    <row r="131" ht="15.75" customHeight="1">
      <c r="A131" s="5" t="s">
        <v>307</v>
      </c>
      <c r="B131" s="6">
        <v>500.0</v>
      </c>
      <c r="C131" s="7" t="s">
        <v>14</v>
      </c>
      <c r="D131" s="7" t="s">
        <v>308</v>
      </c>
      <c r="E131" s="7" t="s">
        <v>24</v>
      </c>
      <c r="F131" s="7" t="s">
        <v>17</v>
      </c>
      <c r="G131" s="7" t="s">
        <v>18</v>
      </c>
      <c r="H131" s="7"/>
      <c r="I131" s="7"/>
      <c r="J131" s="7"/>
      <c r="K131" s="7"/>
      <c r="L131" s="8" t="s">
        <v>309</v>
      </c>
      <c r="M131" s="9">
        <f t="shared" si="1"/>
        <v>-500</v>
      </c>
    </row>
    <row r="132" ht="15.75" customHeight="1">
      <c r="A132" s="5" t="s">
        <v>307</v>
      </c>
      <c r="B132" s="6">
        <v>283.0</v>
      </c>
      <c r="C132" s="7" t="s">
        <v>14</v>
      </c>
      <c r="D132" s="7" t="s">
        <v>310</v>
      </c>
      <c r="E132" s="7" t="s">
        <v>24</v>
      </c>
      <c r="F132" s="7" t="s">
        <v>17</v>
      </c>
      <c r="G132" s="7" t="s">
        <v>18</v>
      </c>
      <c r="H132" s="7"/>
      <c r="I132" s="7"/>
      <c r="J132" s="7"/>
      <c r="K132" s="7"/>
      <c r="L132" s="8" t="s">
        <v>311</v>
      </c>
      <c r="M132" s="9">
        <f t="shared" si="1"/>
        <v>-283</v>
      </c>
    </row>
    <row r="133" ht="15.75" customHeight="1">
      <c r="A133" s="5" t="s">
        <v>307</v>
      </c>
      <c r="B133" s="6">
        <v>60.0</v>
      </c>
      <c r="C133" s="7" t="s">
        <v>14</v>
      </c>
      <c r="D133" s="7" t="s">
        <v>312</v>
      </c>
      <c r="E133" s="7" t="s">
        <v>24</v>
      </c>
      <c r="F133" s="7" t="s">
        <v>17</v>
      </c>
      <c r="G133" s="7" t="s">
        <v>18</v>
      </c>
      <c r="H133" s="7"/>
      <c r="I133" s="7"/>
      <c r="J133" s="7"/>
      <c r="K133" s="7"/>
      <c r="L133" s="8" t="s">
        <v>313</v>
      </c>
      <c r="M133" s="9">
        <f t="shared" si="1"/>
        <v>-60</v>
      </c>
    </row>
    <row r="134" ht="15.75" customHeight="1">
      <c r="A134" s="5" t="s">
        <v>307</v>
      </c>
      <c r="B134" s="6">
        <v>7.94</v>
      </c>
      <c r="C134" s="7" t="s">
        <v>14</v>
      </c>
      <c r="D134" s="7" t="s">
        <v>62</v>
      </c>
      <c r="E134" s="7" t="s">
        <v>16</v>
      </c>
      <c r="F134" s="7" t="s">
        <v>17</v>
      </c>
      <c r="G134" s="7" t="s">
        <v>18</v>
      </c>
      <c r="H134" s="7"/>
      <c r="I134" s="7"/>
      <c r="J134" s="7"/>
      <c r="K134" s="7"/>
      <c r="L134" s="8" t="s">
        <v>314</v>
      </c>
      <c r="M134" s="9">
        <f t="shared" si="1"/>
        <v>-7.94</v>
      </c>
    </row>
    <row r="135" ht="15.75" customHeight="1">
      <c r="A135" s="5" t="s">
        <v>307</v>
      </c>
      <c r="B135" s="6">
        <v>23.5</v>
      </c>
      <c r="C135" s="7" t="s">
        <v>14</v>
      </c>
      <c r="D135" s="7" t="s">
        <v>94</v>
      </c>
      <c r="E135" s="7" t="s">
        <v>24</v>
      </c>
      <c r="F135" s="7" t="s">
        <v>17</v>
      </c>
      <c r="G135" s="7" t="s">
        <v>18</v>
      </c>
      <c r="H135" s="7"/>
      <c r="I135" s="7"/>
      <c r="J135" s="7"/>
      <c r="K135" s="7"/>
      <c r="L135" s="8" t="s">
        <v>315</v>
      </c>
      <c r="M135" s="9">
        <f t="shared" si="1"/>
        <v>-23.5</v>
      </c>
    </row>
    <row r="136" ht="15.75" customHeight="1">
      <c r="A136" s="5" t="s">
        <v>307</v>
      </c>
      <c r="B136" s="6">
        <v>569.0</v>
      </c>
      <c r="C136" s="7" t="s">
        <v>14</v>
      </c>
      <c r="D136" s="7" t="s">
        <v>316</v>
      </c>
      <c r="E136" s="7" t="s">
        <v>24</v>
      </c>
      <c r="F136" s="7" t="s">
        <v>17</v>
      </c>
      <c r="G136" s="7" t="s">
        <v>18</v>
      </c>
      <c r="H136" s="7"/>
      <c r="I136" s="7"/>
      <c r="J136" s="7"/>
      <c r="K136" s="7"/>
      <c r="L136" s="8" t="s">
        <v>317</v>
      </c>
      <c r="M136" s="9">
        <f t="shared" si="1"/>
        <v>-569</v>
      </c>
    </row>
    <row r="137" ht="15.75" customHeight="1">
      <c r="A137" s="5" t="s">
        <v>318</v>
      </c>
      <c r="B137" s="6">
        <v>64.0</v>
      </c>
      <c r="C137" s="7" t="s">
        <v>107</v>
      </c>
      <c r="D137" s="7" t="s">
        <v>319</v>
      </c>
      <c r="E137" s="7" t="s">
        <v>16</v>
      </c>
      <c r="F137" s="7" t="s">
        <v>17</v>
      </c>
      <c r="G137" s="7" t="s">
        <v>18</v>
      </c>
      <c r="H137" s="7"/>
      <c r="I137" s="7"/>
      <c r="J137" s="7"/>
      <c r="K137" s="7"/>
      <c r="L137" s="8" t="s">
        <v>320</v>
      </c>
      <c r="M137" s="9">
        <f t="shared" si="1"/>
        <v>-64</v>
      </c>
    </row>
    <row r="138" ht="15.75" customHeight="1">
      <c r="A138" s="5" t="s">
        <v>318</v>
      </c>
      <c r="B138" s="6">
        <v>12.5</v>
      </c>
      <c r="C138" s="7" t="s">
        <v>107</v>
      </c>
      <c r="D138" s="7" t="s">
        <v>321</v>
      </c>
      <c r="E138" s="7" t="s">
        <v>16</v>
      </c>
      <c r="F138" s="7" t="s">
        <v>17</v>
      </c>
      <c r="G138" s="7" t="s">
        <v>18</v>
      </c>
      <c r="H138" s="7"/>
      <c r="I138" s="7"/>
      <c r="J138" s="7"/>
      <c r="K138" s="7"/>
      <c r="L138" s="8" t="s">
        <v>322</v>
      </c>
      <c r="M138" s="9">
        <f t="shared" si="1"/>
        <v>-12.5</v>
      </c>
    </row>
    <row r="139" ht="15.75" customHeight="1">
      <c r="A139" s="5" t="s">
        <v>318</v>
      </c>
      <c r="B139" s="6">
        <v>9.0</v>
      </c>
      <c r="C139" s="7" t="s">
        <v>107</v>
      </c>
      <c r="D139" s="7" t="s">
        <v>323</v>
      </c>
      <c r="E139" s="7" t="s">
        <v>16</v>
      </c>
      <c r="F139" s="7" t="s">
        <v>17</v>
      </c>
      <c r="G139" s="7" t="s">
        <v>18</v>
      </c>
      <c r="H139" s="7"/>
      <c r="I139" s="7"/>
      <c r="J139" s="7"/>
      <c r="K139" s="7"/>
      <c r="L139" s="8" t="s">
        <v>324</v>
      </c>
      <c r="M139" s="9">
        <f t="shared" si="1"/>
        <v>-9</v>
      </c>
    </row>
    <row r="140" ht="15.75" customHeight="1">
      <c r="A140" s="5" t="s">
        <v>325</v>
      </c>
      <c r="B140" s="6">
        <v>14.0</v>
      </c>
      <c r="C140" s="7" t="s">
        <v>107</v>
      </c>
      <c r="D140" s="7" t="s">
        <v>326</v>
      </c>
      <c r="E140" s="7" t="s">
        <v>24</v>
      </c>
      <c r="F140" s="7" t="s">
        <v>17</v>
      </c>
      <c r="G140" s="7" t="s">
        <v>18</v>
      </c>
      <c r="H140" s="7"/>
      <c r="I140" s="7"/>
      <c r="J140" s="7"/>
      <c r="K140" s="7"/>
      <c r="L140" s="8" t="s">
        <v>327</v>
      </c>
      <c r="M140" s="9">
        <f t="shared" si="1"/>
        <v>-14</v>
      </c>
    </row>
    <row r="141" ht="15.75" customHeight="1">
      <c r="A141" s="5" t="s">
        <v>325</v>
      </c>
      <c r="B141" s="6">
        <v>18.0</v>
      </c>
      <c r="C141" s="7" t="s">
        <v>107</v>
      </c>
      <c r="D141" s="7" t="s">
        <v>328</v>
      </c>
      <c r="E141" s="7" t="s">
        <v>24</v>
      </c>
      <c r="F141" s="7" t="s">
        <v>17</v>
      </c>
      <c r="G141" s="7" t="s">
        <v>18</v>
      </c>
      <c r="H141" s="7"/>
      <c r="I141" s="7"/>
      <c r="J141" s="7"/>
      <c r="K141" s="7"/>
      <c r="L141" s="8" t="s">
        <v>329</v>
      </c>
      <c r="M141" s="9">
        <f t="shared" si="1"/>
        <v>-18</v>
      </c>
    </row>
    <row r="142" ht="15.75" customHeight="1">
      <c r="A142" s="5" t="s">
        <v>325</v>
      </c>
      <c r="B142" s="6">
        <v>16.0</v>
      </c>
      <c r="C142" s="7" t="s">
        <v>107</v>
      </c>
      <c r="D142" s="7" t="s">
        <v>328</v>
      </c>
      <c r="E142" s="7" t="s">
        <v>24</v>
      </c>
      <c r="F142" s="7" t="s">
        <v>17</v>
      </c>
      <c r="G142" s="7" t="s">
        <v>18</v>
      </c>
      <c r="H142" s="7"/>
      <c r="I142" s="7"/>
      <c r="J142" s="7"/>
      <c r="K142" s="7"/>
      <c r="L142" s="8" t="s">
        <v>330</v>
      </c>
      <c r="M142" s="9">
        <f t="shared" si="1"/>
        <v>-16</v>
      </c>
    </row>
    <row r="143" ht="15.75" customHeight="1">
      <c r="A143" s="5" t="s">
        <v>325</v>
      </c>
      <c r="B143" s="6">
        <v>35.0</v>
      </c>
      <c r="C143" s="7" t="s">
        <v>107</v>
      </c>
      <c r="D143" s="7" t="s">
        <v>328</v>
      </c>
      <c r="E143" s="7" t="s">
        <v>24</v>
      </c>
      <c r="F143" s="7" t="s">
        <v>17</v>
      </c>
      <c r="G143" s="7" t="s">
        <v>18</v>
      </c>
      <c r="H143" s="7"/>
      <c r="I143" s="7"/>
      <c r="J143" s="7"/>
      <c r="K143" s="7"/>
      <c r="L143" s="8" t="s">
        <v>331</v>
      </c>
      <c r="M143" s="9">
        <f t="shared" si="1"/>
        <v>-35</v>
      </c>
    </row>
    <row r="144" ht="15.75" customHeight="1">
      <c r="A144" s="5" t="s">
        <v>325</v>
      </c>
      <c r="B144" s="6">
        <v>25.0</v>
      </c>
      <c r="C144" s="7" t="s">
        <v>107</v>
      </c>
      <c r="D144" s="7" t="s">
        <v>328</v>
      </c>
      <c r="E144" s="7" t="s">
        <v>24</v>
      </c>
      <c r="F144" s="7" t="s">
        <v>17</v>
      </c>
      <c r="G144" s="7" t="s">
        <v>18</v>
      </c>
      <c r="H144" s="7"/>
      <c r="I144" s="7"/>
      <c r="J144" s="7"/>
      <c r="K144" s="7"/>
      <c r="L144" s="8" t="s">
        <v>332</v>
      </c>
      <c r="M144" s="9">
        <f t="shared" si="1"/>
        <v>-25</v>
      </c>
    </row>
    <row r="145" ht="15.75" customHeight="1">
      <c r="A145" s="5" t="s">
        <v>333</v>
      </c>
      <c r="B145" s="6">
        <v>700.0</v>
      </c>
      <c r="C145" s="7" t="s">
        <v>14</v>
      </c>
      <c r="D145" s="7" t="s">
        <v>334</v>
      </c>
      <c r="E145" s="7" t="s">
        <v>42</v>
      </c>
      <c r="F145" s="7" t="s">
        <v>17</v>
      </c>
      <c r="G145" s="7" t="s">
        <v>335</v>
      </c>
      <c r="H145" s="7"/>
      <c r="I145" s="7"/>
      <c r="J145" s="7"/>
      <c r="K145" s="7"/>
      <c r="L145" s="8" t="s">
        <v>336</v>
      </c>
      <c r="M145" s="9">
        <f t="shared" si="1"/>
        <v>-700</v>
      </c>
    </row>
    <row r="146" ht="15.75" customHeight="1">
      <c r="A146" s="5" t="s">
        <v>337</v>
      </c>
      <c r="B146" s="6">
        <v>14.5</v>
      </c>
      <c r="C146" s="7" t="s">
        <v>107</v>
      </c>
      <c r="D146" s="7" t="s">
        <v>338</v>
      </c>
      <c r="E146" s="7" t="s">
        <v>16</v>
      </c>
      <c r="F146" s="7" t="s">
        <v>17</v>
      </c>
      <c r="G146" s="7" t="s">
        <v>18</v>
      </c>
      <c r="H146" s="7"/>
      <c r="I146" s="7"/>
      <c r="J146" s="7"/>
      <c r="K146" s="7"/>
      <c r="L146" s="8" t="s">
        <v>339</v>
      </c>
      <c r="M146" s="9">
        <f t="shared" si="1"/>
        <v>-14.5</v>
      </c>
    </row>
    <row r="147" ht="15.75" customHeight="1">
      <c r="A147" s="5" t="s">
        <v>337</v>
      </c>
      <c r="B147" s="6">
        <v>122.0</v>
      </c>
      <c r="C147" s="7" t="s">
        <v>107</v>
      </c>
      <c r="D147" s="7" t="s">
        <v>340</v>
      </c>
      <c r="E147" s="7" t="s">
        <v>24</v>
      </c>
      <c r="F147" s="7" t="s">
        <v>17</v>
      </c>
      <c r="G147" s="7" t="s">
        <v>18</v>
      </c>
      <c r="H147" s="7"/>
      <c r="I147" s="7"/>
      <c r="J147" s="7"/>
      <c r="K147" s="7"/>
      <c r="L147" s="8" t="s">
        <v>341</v>
      </c>
      <c r="M147" s="9">
        <f t="shared" si="1"/>
        <v>-122</v>
      </c>
    </row>
    <row r="148" ht="15.75" customHeight="1">
      <c r="A148" s="5" t="s">
        <v>337</v>
      </c>
      <c r="B148" s="6">
        <v>36.77</v>
      </c>
      <c r="C148" s="7" t="s">
        <v>14</v>
      </c>
      <c r="D148" s="7" t="s">
        <v>47</v>
      </c>
      <c r="E148" s="7" t="s">
        <v>24</v>
      </c>
      <c r="F148" s="7" t="s">
        <v>17</v>
      </c>
      <c r="G148" s="7" t="s">
        <v>18</v>
      </c>
      <c r="H148" s="7"/>
      <c r="I148" s="7"/>
      <c r="J148" s="7"/>
      <c r="K148" s="7"/>
      <c r="L148" s="8" t="s">
        <v>342</v>
      </c>
      <c r="M148" s="9">
        <f t="shared" si="1"/>
        <v>-36.77</v>
      </c>
    </row>
    <row r="149" ht="15.75" customHeight="1">
      <c r="A149" s="5" t="s">
        <v>343</v>
      </c>
      <c r="B149" s="6">
        <v>1450.0</v>
      </c>
      <c r="C149" s="7" t="s">
        <v>14</v>
      </c>
      <c r="D149" s="7" t="s">
        <v>344</v>
      </c>
      <c r="E149" s="7" t="s">
        <v>42</v>
      </c>
      <c r="F149" s="7" t="s">
        <v>17</v>
      </c>
      <c r="G149" s="7" t="s">
        <v>335</v>
      </c>
      <c r="H149" s="7"/>
      <c r="I149" s="7"/>
      <c r="J149" s="7"/>
      <c r="K149" s="7"/>
      <c r="L149" s="8" t="s">
        <v>345</v>
      </c>
      <c r="M149" s="9">
        <f t="shared" si="1"/>
        <v>-1450</v>
      </c>
    </row>
    <row r="150" ht="15.75" customHeight="1">
      <c r="A150" s="5" t="s">
        <v>343</v>
      </c>
      <c r="B150" s="6">
        <v>40.0</v>
      </c>
      <c r="C150" s="7" t="s">
        <v>14</v>
      </c>
      <c r="D150" s="7" t="s">
        <v>81</v>
      </c>
      <c r="E150" s="7" t="s">
        <v>16</v>
      </c>
      <c r="F150" s="7" t="s">
        <v>17</v>
      </c>
      <c r="G150" s="7" t="s">
        <v>18</v>
      </c>
      <c r="H150" s="7"/>
      <c r="I150" s="7"/>
      <c r="J150" s="7"/>
      <c r="K150" s="7"/>
      <c r="L150" s="8" t="s">
        <v>346</v>
      </c>
      <c r="M150" s="9">
        <f t="shared" si="1"/>
        <v>-40</v>
      </c>
    </row>
    <row r="151" ht="15.75" customHeight="1">
      <c r="A151" s="5" t="s">
        <v>347</v>
      </c>
      <c r="B151" s="6">
        <v>4000.0</v>
      </c>
      <c r="C151" s="7" t="s">
        <v>14</v>
      </c>
      <c r="D151" s="7" t="s">
        <v>348</v>
      </c>
      <c r="E151" s="7" t="s">
        <v>42</v>
      </c>
      <c r="F151" s="7" t="s">
        <v>17</v>
      </c>
      <c r="G151" s="7" t="s">
        <v>335</v>
      </c>
      <c r="H151" s="7"/>
      <c r="I151" s="7"/>
      <c r="J151" s="7"/>
      <c r="K151" s="7"/>
      <c r="L151" s="8" t="s">
        <v>349</v>
      </c>
      <c r="M151" s="9">
        <f t="shared" si="1"/>
        <v>-4000</v>
      </c>
    </row>
    <row r="152" ht="15.75" customHeight="1">
      <c r="A152" s="5" t="s">
        <v>347</v>
      </c>
      <c r="B152" s="6">
        <v>76.98</v>
      </c>
      <c r="C152" s="7" t="s">
        <v>350</v>
      </c>
      <c r="D152" s="7" t="s">
        <v>351</v>
      </c>
      <c r="E152" s="7" t="s">
        <v>24</v>
      </c>
      <c r="F152" s="7" t="s">
        <v>17</v>
      </c>
      <c r="G152" s="7" t="s">
        <v>18</v>
      </c>
      <c r="H152" s="7"/>
      <c r="I152" s="7"/>
      <c r="J152" s="7"/>
      <c r="K152" s="7"/>
      <c r="L152" s="8" t="s">
        <v>352</v>
      </c>
      <c r="M152" s="9">
        <f t="shared" si="1"/>
        <v>-76.98</v>
      </c>
    </row>
    <row r="153" ht="15.75" customHeight="1">
      <c r="A153" s="5" t="s">
        <v>353</v>
      </c>
      <c r="B153" s="6">
        <v>18000.0</v>
      </c>
      <c r="C153" s="7" t="s">
        <v>14</v>
      </c>
      <c r="D153" s="7" t="s">
        <v>354</v>
      </c>
      <c r="E153" s="7" t="s">
        <v>354</v>
      </c>
      <c r="F153" s="7" t="s">
        <v>43</v>
      </c>
      <c r="G153" s="7" t="s">
        <v>44</v>
      </c>
      <c r="H153" s="7"/>
      <c r="I153" s="7"/>
      <c r="J153" s="7"/>
      <c r="K153" s="7"/>
      <c r="L153" s="8" t="s">
        <v>355</v>
      </c>
      <c r="M153" s="9">
        <f t="shared" si="1"/>
        <v>18000</v>
      </c>
    </row>
    <row r="154" ht="15.75" customHeight="1">
      <c r="A154" s="5" t="s">
        <v>356</v>
      </c>
      <c r="B154" s="6">
        <v>15.19</v>
      </c>
      <c r="C154" s="7" t="s">
        <v>14</v>
      </c>
      <c r="D154" s="7" t="s">
        <v>47</v>
      </c>
      <c r="E154" s="7" t="s">
        <v>24</v>
      </c>
      <c r="F154" s="7" t="s">
        <v>17</v>
      </c>
      <c r="G154" s="7" t="s">
        <v>18</v>
      </c>
      <c r="H154" s="7"/>
      <c r="I154" s="7"/>
      <c r="J154" s="7"/>
      <c r="K154" s="7"/>
      <c r="L154" s="8" t="s">
        <v>357</v>
      </c>
      <c r="M154" s="9">
        <f t="shared" si="1"/>
        <v>-15.19</v>
      </c>
    </row>
    <row r="155" ht="15.75" customHeight="1">
      <c r="A155" s="5" t="s">
        <v>358</v>
      </c>
      <c r="B155" s="6">
        <v>40.86</v>
      </c>
      <c r="C155" s="7" t="s">
        <v>107</v>
      </c>
      <c r="D155" s="7" t="s">
        <v>359</v>
      </c>
      <c r="E155" s="7" t="s">
        <v>24</v>
      </c>
      <c r="F155" s="7" t="s">
        <v>17</v>
      </c>
      <c r="G155" s="7" t="s">
        <v>18</v>
      </c>
      <c r="H155" s="7"/>
      <c r="I155" s="7"/>
      <c r="J155" s="7"/>
      <c r="K155" s="7"/>
      <c r="L155" s="8" t="s">
        <v>360</v>
      </c>
      <c r="M155" s="9">
        <f t="shared" si="1"/>
        <v>-40.86</v>
      </c>
    </row>
    <row r="156" ht="15.75" customHeight="1">
      <c r="A156" s="5" t="s">
        <v>361</v>
      </c>
      <c r="B156" s="6">
        <v>215.0</v>
      </c>
      <c r="C156" s="7" t="s">
        <v>107</v>
      </c>
      <c r="D156" s="7" t="s">
        <v>362</v>
      </c>
      <c r="E156" s="7" t="s">
        <v>24</v>
      </c>
      <c r="F156" s="7" t="s">
        <v>17</v>
      </c>
      <c r="G156" s="7" t="s">
        <v>18</v>
      </c>
      <c r="H156" s="7"/>
      <c r="I156" s="7"/>
      <c r="J156" s="7"/>
      <c r="K156" s="7"/>
      <c r="L156" s="8" t="s">
        <v>363</v>
      </c>
      <c r="M156" s="9">
        <f t="shared" si="1"/>
        <v>-215</v>
      </c>
    </row>
    <row r="157" ht="15.75" customHeight="1">
      <c r="A157" s="5" t="s">
        <v>364</v>
      </c>
      <c r="B157" s="6">
        <v>16.0</v>
      </c>
      <c r="C157" s="7" t="s">
        <v>107</v>
      </c>
      <c r="D157" s="7" t="s">
        <v>365</v>
      </c>
      <c r="E157" s="7" t="s">
        <v>24</v>
      </c>
      <c r="F157" s="7" t="s">
        <v>17</v>
      </c>
      <c r="G157" s="7" t="s">
        <v>18</v>
      </c>
      <c r="H157" s="7"/>
      <c r="I157" s="7"/>
      <c r="J157" s="7"/>
      <c r="K157" s="7"/>
      <c r="L157" s="8" t="s">
        <v>366</v>
      </c>
      <c r="M157" s="9">
        <f t="shared" si="1"/>
        <v>-16</v>
      </c>
    </row>
    <row r="158" ht="15.75" customHeight="1">
      <c r="A158" s="5" t="s">
        <v>367</v>
      </c>
      <c r="B158" s="6">
        <v>110.0</v>
      </c>
      <c r="C158" s="7" t="s">
        <v>107</v>
      </c>
      <c r="D158" s="7" t="s">
        <v>368</v>
      </c>
      <c r="E158" s="7" t="s">
        <v>24</v>
      </c>
      <c r="F158" s="7" t="s">
        <v>17</v>
      </c>
      <c r="G158" s="7" t="s">
        <v>18</v>
      </c>
      <c r="H158" s="7"/>
      <c r="I158" s="7"/>
      <c r="J158" s="7"/>
      <c r="K158" s="7"/>
      <c r="L158" s="8" t="s">
        <v>369</v>
      </c>
      <c r="M158" s="9">
        <f t="shared" si="1"/>
        <v>-110</v>
      </c>
    </row>
    <row r="159" ht="15.75" customHeight="1">
      <c r="A159" s="5" t="s">
        <v>370</v>
      </c>
      <c r="B159" s="6">
        <v>2000.0</v>
      </c>
      <c r="C159" s="7" t="s">
        <v>14</v>
      </c>
      <c r="D159" s="7" t="s">
        <v>371</v>
      </c>
      <c r="E159" s="7" t="s">
        <v>42</v>
      </c>
      <c r="F159" s="7" t="s">
        <v>43</v>
      </c>
      <c r="G159" s="7" t="s">
        <v>44</v>
      </c>
      <c r="H159" s="7"/>
      <c r="I159" s="7"/>
      <c r="J159" s="7"/>
      <c r="K159" s="7"/>
      <c r="L159" s="8" t="s">
        <v>372</v>
      </c>
      <c r="M159" s="9">
        <f t="shared" si="1"/>
        <v>2000</v>
      </c>
    </row>
    <row r="160" ht="15.75" customHeight="1">
      <c r="A160" s="5" t="s">
        <v>373</v>
      </c>
      <c r="B160" s="6">
        <v>25.45</v>
      </c>
      <c r="C160" s="7" t="s">
        <v>107</v>
      </c>
      <c r="D160" s="7" t="s">
        <v>374</v>
      </c>
      <c r="E160" s="7" t="s">
        <v>16</v>
      </c>
      <c r="F160" s="7" t="s">
        <v>17</v>
      </c>
      <c r="G160" s="7" t="s">
        <v>18</v>
      </c>
      <c r="H160" s="7"/>
      <c r="I160" s="7"/>
      <c r="J160" s="7"/>
      <c r="K160" s="7"/>
      <c r="L160" s="8" t="s">
        <v>375</v>
      </c>
      <c r="M160" s="9">
        <f t="shared" si="1"/>
        <v>-25.45</v>
      </c>
    </row>
    <row r="161" ht="15.75" customHeight="1">
      <c r="A161" s="5" t="s">
        <v>373</v>
      </c>
      <c r="B161" s="6">
        <v>27.8</v>
      </c>
      <c r="C161" s="7" t="s">
        <v>107</v>
      </c>
      <c r="D161" s="7" t="s">
        <v>376</v>
      </c>
      <c r="E161" s="7" t="s">
        <v>16</v>
      </c>
      <c r="F161" s="7" t="s">
        <v>17</v>
      </c>
      <c r="G161" s="7" t="s">
        <v>18</v>
      </c>
      <c r="H161" s="7"/>
      <c r="I161" s="7"/>
      <c r="J161" s="7"/>
      <c r="K161" s="7"/>
      <c r="L161" s="8" t="s">
        <v>377</v>
      </c>
      <c r="M161" s="9">
        <f t="shared" si="1"/>
        <v>-27.8</v>
      </c>
    </row>
    <row r="162" ht="15.75" customHeight="1">
      <c r="A162" s="5" t="s">
        <v>378</v>
      </c>
      <c r="B162" s="6">
        <v>384.0</v>
      </c>
      <c r="C162" s="7" t="s">
        <v>14</v>
      </c>
      <c r="D162" s="7" t="s">
        <v>379</v>
      </c>
      <c r="E162" s="7" t="s">
        <v>24</v>
      </c>
      <c r="F162" s="7" t="s">
        <v>17</v>
      </c>
      <c r="G162" s="7" t="s">
        <v>18</v>
      </c>
      <c r="H162" s="7"/>
      <c r="I162" s="7"/>
      <c r="J162" s="7"/>
      <c r="K162" s="7"/>
      <c r="L162" s="8" t="s">
        <v>380</v>
      </c>
      <c r="M162" s="9">
        <f t="shared" si="1"/>
        <v>-384</v>
      </c>
    </row>
    <row r="163" ht="15.75" customHeight="1">
      <c r="A163" s="5" t="s">
        <v>378</v>
      </c>
      <c r="B163" s="6">
        <v>31.16</v>
      </c>
      <c r="C163" s="7" t="s">
        <v>14</v>
      </c>
      <c r="D163" s="7" t="s">
        <v>381</v>
      </c>
      <c r="E163" s="7" t="s">
        <v>24</v>
      </c>
      <c r="F163" s="7" t="s">
        <v>17</v>
      </c>
      <c r="G163" s="7" t="s">
        <v>18</v>
      </c>
      <c r="H163" s="7"/>
      <c r="I163" s="7"/>
      <c r="J163" s="7"/>
      <c r="K163" s="7"/>
      <c r="L163" s="8" t="s">
        <v>382</v>
      </c>
      <c r="M163" s="9">
        <f t="shared" si="1"/>
        <v>-31.16</v>
      </c>
    </row>
    <row r="164" ht="15.75" customHeight="1">
      <c r="A164" s="5" t="s">
        <v>383</v>
      </c>
      <c r="B164" s="6">
        <v>56.93</v>
      </c>
      <c r="C164" s="7" t="s">
        <v>14</v>
      </c>
      <c r="D164" s="7" t="s">
        <v>62</v>
      </c>
      <c r="E164" s="7" t="s">
        <v>16</v>
      </c>
      <c r="F164" s="7" t="s">
        <v>17</v>
      </c>
      <c r="G164" s="7" t="s">
        <v>18</v>
      </c>
      <c r="H164" s="7"/>
      <c r="I164" s="7"/>
      <c r="J164" s="7"/>
      <c r="K164" s="7"/>
      <c r="L164" s="8" t="s">
        <v>384</v>
      </c>
      <c r="M164" s="9">
        <f t="shared" si="1"/>
        <v>-56.93</v>
      </c>
    </row>
    <row r="165" ht="15.75" customHeight="1">
      <c r="A165" s="5" t="s">
        <v>385</v>
      </c>
      <c r="B165" s="6">
        <v>80.0</v>
      </c>
      <c r="C165" s="7" t="s">
        <v>14</v>
      </c>
      <c r="D165" s="7" t="s">
        <v>386</v>
      </c>
      <c r="E165" s="7" t="s">
        <v>24</v>
      </c>
      <c r="F165" s="7" t="s">
        <v>17</v>
      </c>
      <c r="G165" s="7" t="s">
        <v>18</v>
      </c>
      <c r="H165" s="7"/>
      <c r="I165" s="7"/>
      <c r="J165" s="7"/>
      <c r="K165" s="7"/>
      <c r="L165" s="8" t="s">
        <v>387</v>
      </c>
      <c r="M165" s="9">
        <f t="shared" si="1"/>
        <v>-80</v>
      </c>
    </row>
    <row r="166" ht="15.75" customHeight="1">
      <c r="A166" s="5" t="s">
        <v>388</v>
      </c>
      <c r="B166" s="6">
        <v>15.0</v>
      </c>
      <c r="C166" s="7" t="s">
        <v>14</v>
      </c>
      <c r="D166" s="7" t="s">
        <v>389</v>
      </c>
      <c r="E166" s="7" t="s">
        <v>24</v>
      </c>
      <c r="F166" s="7" t="s">
        <v>17</v>
      </c>
      <c r="G166" s="7" t="s">
        <v>18</v>
      </c>
      <c r="H166" s="7"/>
      <c r="I166" s="7"/>
      <c r="J166" s="7"/>
      <c r="K166" s="7"/>
      <c r="L166" s="8" t="s">
        <v>390</v>
      </c>
      <c r="M166" s="9">
        <f t="shared" si="1"/>
        <v>-15</v>
      </c>
    </row>
    <row r="167" ht="15.75" customHeight="1">
      <c r="A167" s="5" t="s">
        <v>391</v>
      </c>
      <c r="B167" s="6">
        <v>8763.0</v>
      </c>
      <c r="C167" s="7" t="s">
        <v>14</v>
      </c>
      <c r="D167" s="7" t="s">
        <v>392</v>
      </c>
      <c r="E167" s="7" t="s">
        <v>24</v>
      </c>
      <c r="F167" s="7" t="s">
        <v>17</v>
      </c>
      <c r="G167" s="7" t="s">
        <v>18</v>
      </c>
      <c r="H167" s="7"/>
      <c r="I167" s="7"/>
      <c r="J167" s="7"/>
      <c r="K167" s="7"/>
      <c r="L167" s="8" t="s">
        <v>393</v>
      </c>
      <c r="M167" s="9">
        <f t="shared" si="1"/>
        <v>-8763</v>
      </c>
    </row>
    <row r="168" ht="15.75" customHeight="1">
      <c r="A168" s="5" t="s">
        <v>394</v>
      </c>
      <c r="B168" s="6">
        <v>47.49</v>
      </c>
      <c r="C168" s="7" t="s">
        <v>14</v>
      </c>
      <c r="D168" s="7" t="s">
        <v>115</v>
      </c>
      <c r="E168" s="7" t="s">
        <v>24</v>
      </c>
      <c r="F168" s="7" t="s">
        <v>17</v>
      </c>
      <c r="G168" s="7" t="s">
        <v>18</v>
      </c>
      <c r="H168" s="7"/>
      <c r="I168" s="7"/>
      <c r="J168" s="7"/>
      <c r="K168" s="7"/>
      <c r="L168" s="8" t="s">
        <v>395</v>
      </c>
      <c r="M168" s="9">
        <f t="shared" si="1"/>
        <v>-47.49</v>
      </c>
    </row>
    <row r="169" ht="15.75" customHeight="1">
      <c r="A169" s="5" t="s">
        <v>394</v>
      </c>
      <c r="B169" s="6">
        <v>300.0</v>
      </c>
      <c r="C169" s="7" t="s">
        <v>14</v>
      </c>
      <c r="D169" s="7" t="s">
        <v>276</v>
      </c>
      <c r="E169" s="7" t="s">
        <v>24</v>
      </c>
      <c r="F169" s="7" t="s">
        <v>17</v>
      </c>
      <c r="G169" s="7" t="s">
        <v>18</v>
      </c>
      <c r="H169" s="7"/>
      <c r="I169" s="7"/>
      <c r="J169" s="7"/>
      <c r="K169" s="7"/>
      <c r="L169" s="8" t="s">
        <v>396</v>
      </c>
      <c r="M169" s="9">
        <f t="shared" si="1"/>
        <v>-300</v>
      </c>
    </row>
    <row r="170" ht="15.75" customHeight="1">
      <c r="A170" s="5" t="s">
        <v>394</v>
      </c>
      <c r="B170" s="6">
        <v>122.0</v>
      </c>
      <c r="C170" s="7" t="s">
        <v>14</v>
      </c>
      <c r="D170" s="7" t="s">
        <v>397</v>
      </c>
      <c r="E170" s="7" t="s">
        <v>16</v>
      </c>
      <c r="F170" s="7" t="s">
        <v>17</v>
      </c>
      <c r="G170" s="7" t="s">
        <v>18</v>
      </c>
      <c r="H170" s="7"/>
      <c r="I170" s="7"/>
      <c r="J170" s="7"/>
      <c r="K170" s="7"/>
      <c r="L170" s="8" t="s">
        <v>398</v>
      </c>
      <c r="M170" s="9">
        <f t="shared" si="1"/>
        <v>-122</v>
      </c>
    </row>
    <row r="171" ht="15.75" customHeight="1">
      <c r="A171" s="5" t="s">
        <v>399</v>
      </c>
      <c r="B171" s="6">
        <v>14.98</v>
      </c>
      <c r="C171" s="7" t="s">
        <v>107</v>
      </c>
      <c r="D171" s="7" t="s">
        <v>118</v>
      </c>
      <c r="E171" s="7" t="s">
        <v>16</v>
      </c>
      <c r="F171" s="7" t="s">
        <v>17</v>
      </c>
      <c r="G171" s="7" t="s">
        <v>18</v>
      </c>
      <c r="H171" s="7"/>
      <c r="I171" s="7"/>
      <c r="J171" s="7"/>
      <c r="K171" s="7"/>
      <c r="L171" s="8" t="s">
        <v>400</v>
      </c>
      <c r="M171" s="9">
        <f t="shared" si="1"/>
        <v>-14.98</v>
      </c>
    </row>
    <row r="172" ht="15.75" customHeight="1">
      <c r="A172" s="5" t="s">
        <v>401</v>
      </c>
      <c r="B172" s="6">
        <v>25.0</v>
      </c>
      <c r="C172" s="7" t="s">
        <v>14</v>
      </c>
      <c r="D172" s="7" t="s">
        <v>94</v>
      </c>
      <c r="E172" s="7" t="s">
        <v>16</v>
      </c>
      <c r="F172" s="7" t="s">
        <v>17</v>
      </c>
      <c r="G172" s="7" t="s">
        <v>18</v>
      </c>
      <c r="H172" s="7"/>
      <c r="I172" s="7"/>
      <c r="J172" s="7"/>
      <c r="K172" s="7"/>
      <c r="L172" s="8" t="s">
        <v>402</v>
      </c>
      <c r="M172" s="9">
        <f t="shared" si="1"/>
        <v>-25</v>
      </c>
    </row>
    <row r="173" ht="15.75" customHeight="1">
      <c r="A173" s="5" t="s">
        <v>401</v>
      </c>
      <c r="B173" s="6">
        <v>7500.0</v>
      </c>
      <c r="C173" s="7" t="s">
        <v>14</v>
      </c>
      <c r="D173" s="7" t="s">
        <v>41</v>
      </c>
      <c r="E173" s="7" t="s">
        <v>42</v>
      </c>
      <c r="F173" s="7" t="s">
        <v>43</v>
      </c>
      <c r="G173" s="7" t="s">
        <v>44</v>
      </c>
      <c r="H173" s="7"/>
      <c r="I173" s="7"/>
      <c r="J173" s="7"/>
      <c r="K173" s="7"/>
      <c r="L173" s="8" t="s">
        <v>403</v>
      </c>
      <c r="M173" s="9">
        <f t="shared" si="1"/>
        <v>7500</v>
      </c>
    </row>
    <row r="174" ht="15.75" customHeight="1">
      <c r="A174" s="5" t="s">
        <v>401</v>
      </c>
      <c r="B174" s="6">
        <v>10.0</v>
      </c>
      <c r="C174" s="7" t="s">
        <v>107</v>
      </c>
      <c r="D174" s="7" t="s">
        <v>108</v>
      </c>
      <c r="E174" s="7" t="s">
        <v>24</v>
      </c>
      <c r="F174" s="7" t="s">
        <v>17</v>
      </c>
      <c r="G174" s="7" t="s">
        <v>18</v>
      </c>
      <c r="H174" s="7"/>
      <c r="I174" s="7"/>
      <c r="J174" s="7"/>
      <c r="K174" s="7"/>
      <c r="L174" s="8" t="s">
        <v>404</v>
      </c>
      <c r="M174" s="9">
        <f t="shared" si="1"/>
        <v>-10</v>
      </c>
    </row>
    <row r="175" ht="15.75" customHeight="1">
      <c r="A175" s="5" t="s">
        <v>401</v>
      </c>
      <c r="B175" s="6">
        <v>10.0</v>
      </c>
      <c r="C175" s="7" t="s">
        <v>107</v>
      </c>
      <c r="D175" s="7" t="s">
        <v>118</v>
      </c>
      <c r="E175" s="7" t="s">
        <v>16</v>
      </c>
      <c r="F175" s="7" t="s">
        <v>17</v>
      </c>
      <c r="G175" s="7" t="s">
        <v>18</v>
      </c>
      <c r="H175" s="7"/>
      <c r="I175" s="7"/>
      <c r="J175" s="7"/>
      <c r="K175" s="7"/>
      <c r="L175" s="8" t="s">
        <v>405</v>
      </c>
      <c r="M175" s="9">
        <f t="shared" si="1"/>
        <v>-10</v>
      </c>
    </row>
    <row r="176" ht="15.75" customHeight="1">
      <c r="A176" s="5" t="s">
        <v>406</v>
      </c>
      <c r="B176" s="6">
        <v>130.0</v>
      </c>
      <c r="C176" s="7" t="s">
        <v>14</v>
      </c>
      <c r="D176" s="7" t="s">
        <v>407</v>
      </c>
      <c r="E176" s="7" t="s">
        <v>24</v>
      </c>
      <c r="F176" s="7" t="s">
        <v>17</v>
      </c>
      <c r="G176" s="7" t="s">
        <v>18</v>
      </c>
      <c r="H176" s="7"/>
      <c r="I176" s="7"/>
      <c r="J176" s="7"/>
      <c r="K176" s="7"/>
      <c r="L176" s="8" t="s">
        <v>408</v>
      </c>
      <c r="M176" s="9">
        <f t="shared" si="1"/>
        <v>-130</v>
      </c>
    </row>
    <row r="177" ht="15.75" customHeight="1">
      <c r="A177" s="5" t="s">
        <v>406</v>
      </c>
      <c r="B177" s="6">
        <v>126.0</v>
      </c>
      <c r="C177" s="7" t="s">
        <v>14</v>
      </c>
      <c r="D177" s="7" t="s">
        <v>94</v>
      </c>
      <c r="E177" s="7" t="s">
        <v>24</v>
      </c>
      <c r="F177" s="7" t="s">
        <v>17</v>
      </c>
      <c r="G177" s="7" t="s">
        <v>18</v>
      </c>
      <c r="H177" s="7"/>
      <c r="I177" s="7"/>
      <c r="J177" s="7"/>
      <c r="K177" s="7"/>
      <c r="L177" s="8" t="s">
        <v>409</v>
      </c>
      <c r="M177" s="9">
        <f t="shared" si="1"/>
        <v>-126</v>
      </c>
    </row>
    <row r="178" ht="15.75" customHeight="1">
      <c r="A178" s="5" t="s">
        <v>410</v>
      </c>
      <c r="B178" s="6">
        <v>38.0</v>
      </c>
      <c r="C178" s="7" t="s">
        <v>14</v>
      </c>
      <c r="D178" s="7" t="s">
        <v>411</v>
      </c>
      <c r="E178" s="7" t="s">
        <v>16</v>
      </c>
      <c r="F178" s="7" t="s">
        <v>17</v>
      </c>
      <c r="G178" s="7" t="s">
        <v>18</v>
      </c>
      <c r="H178" s="7"/>
      <c r="I178" s="7"/>
      <c r="J178" s="7"/>
      <c r="K178" s="7"/>
      <c r="L178" s="8" t="s">
        <v>412</v>
      </c>
      <c r="M178" s="9">
        <f t="shared" si="1"/>
        <v>-38</v>
      </c>
    </row>
    <row r="179" ht="15.75" customHeight="1">
      <c r="A179" s="5" t="s">
        <v>410</v>
      </c>
      <c r="B179" s="6">
        <v>32.0</v>
      </c>
      <c r="C179" s="7" t="s">
        <v>14</v>
      </c>
      <c r="D179" s="7" t="s">
        <v>413</v>
      </c>
      <c r="E179" s="7" t="s">
        <v>16</v>
      </c>
      <c r="F179" s="7" t="s">
        <v>17</v>
      </c>
      <c r="G179" s="7" t="s">
        <v>18</v>
      </c>
      <c r="H179" s="7"/>
      <c r="I179" s="7"/>
      <c r="J179" s="7"/>
      <c r="K179" s="7"/>
      <c r="L179" s="8" t="s">
        <v>414</v>
      </c>
      <c r="M179" s="9">
        <f t="shared" si="1"/>
        <v>-32</v>
      </c>
    </row>
    <row r="180" ht="15.75" customHeight="1">
      <c r="A180" s="5" t="s">
        <v>410</v>
      </c>
      <c r="B180" s="6">
        <v>1200.0</v>
      </c>
      <c r="C180" s="7" t="s">
        <v>14</v>
      </c>
      <c r="D180" s="7" t="s">
        <v>41</v>
      </c>
      <c r="E180" s="7" t="s">
        <v>42</v>
      </c>
      <c r="F180" s="7" t="s">
        <v>43</v>
      </c>
      <c r="G180" s="7" t="s">
        <v>44</v>
      </c>
      <c r="H180" s="7"/>
      <c r="I180" s="7"/>
      <c r="J180" s="7"/>
      <c r="K180" s="7"/>
      <c r="L180" s="8" t="s">
        <v>415</v>
      </c>
      <c r="M180" s="9">
        <f t="shared" si="1"/>
        <v>1200</v>
      </c>
    </row>
    <row r="181" ht="15.75" customHeight="1">
      <c r="A181" s="5" t="s">
        <v>416</v>
      </c>
      <c r="B181" s="6">
        <v>25.0</v>
      </c>
      <c r="C181" s="7" t="s">
        <v>14</v>
      </c>
      <c r="D181" s="7" t="s">
        <v>258</v>
      </c>
      <c r="E181" s="7" t="s">
        <v>42</v>
      </c>
      <c r="F181" s="7" t="s">
        <v>43</v>
      </c>
      <c r="G181" s="7" t="s">
        <v>44</v>
      </c>
      <c r="H181" s="7"/>
      <c r="I181" s="7"/>
      <c r="J181" s="7"/>
      <c r="K181" s="7"/>
      <c r="L181" s="8" t="s">
        <v>417</v>
      </c>
      <c r="M181" s="9">
        <f t="shared" si="1"/>
        <v>25</v>
      </c>
    </row>
    <row r="182" ht="15.75" customHeight="1">
      <c r="A182" s="5" t="s">
        <v>418</v>
      </c>
      <c r="B182" s="6">
        <v>72.6</v>
      </c>
      <c r="C182" s="7" t="s">
        <v>14</v>
      </c>
      <c r="D182" s="7" t="s">
        <v>94</v>
      </c>
      <c r="E182" s="7" t="s">
        <v>24</v>
      </c>
      <c r="F182" s="7" t="s">
        <v>17</v>
      </c>
      <c r="G182" s="7" t="s">
        <v>18</v>
      </c>
      <c r="H182" s="7"/>
      <c r="I182" s="7"/>
      <c r="J182" s="7"/>
      <c r="K182" s="7"/>
      <c r="L182" s="8" t="s">
        <v>419</v>
      </c>
      <c r="M182" s="9">
        <f t="shared" si="1"/>
        <v>-72.6</v>
      </c>
    </row>
    <row r="183" ht="15.75" customHeight="1">
      <c r="A183" s="5" t="s">
        <v>420</v>
      </c>
      <c r="B183" s="6">
        <v>5.0</v>
      </c>
      <c r="C183" s="7" t="s">
        <v>14</v>
      </c>
      <c r="D183" s="7" t="s">
        <v>421</v>
      </c>
      <c r="E183" s="7" t="s">
        <v>16</v>
      </c>
      <c r="F183" s="7" t="s">
        <v>17</v>
      </c>
      <c r="G183" s="7" t="s">
        <v>18</v>
      </c>
      <c r="H183" s="7"/>
      <c r="I183" s="7"/>
      <c r="J183" s="7"/>
      <c r="K183" s="7"/>
      <c r="L183" s="8" t="s">
        <v>422</v>
      </c>
      <c r="M183" s="9">
        <f t="shared" si="1"/>
        <v>-5</v>
      </c>
    </row>
    <row r="184" ht="15.75" customHeight="1">
      <c r="A184" s="5" t="s">
        <v>420</v>
      </c>
      <c r="B184" s="6">
        <v>26.0</v>
      </c>
      <c r="C184" s="7" t="s">
        <v>14</v>
      </c>
      <c r="D184" s="7" t="s">
        <v>423</v>
      </c>
      <c r="E184" s="7" t="s">
        <v>16</v>
      </c>
      <c r="F184" s="7" t="s">
        <v>17</v>
      </c>
      <c r="G184" s="7" t="s">
        <v>18</v>
      </c>
      <c r="H184" s="7"/>
      <c r="I184" s="7"/>
      <c r="J184" s="7"/>
      <c r="K184" s="7"/>
      <c r="L184" s="8" t="s">
        <v>424</v>
      </c>
      <c r="M184" s="9">
        <f t="shared" si="1"/>
        <v>-26</v>
      </c>
    </row>
    <row r="185" ht="15.75" customHeight="1">
      <c r="A185" s="5" t="s">
        <v>420</v>
      </c>
      <c r="B185" s="6">
        <v>130.25</v>
      </c>
      <c r="C185" s="7" t="s">
        <v>14</v>
      </c>
      <c r="D185" s="7" t="s">
        <v>425</v>
      </c>
      <c r="E185" s="7" t="s">
        <v>24</v>
      </c>
      <c r="F185" s="7" t="s">
        <v>17</v>
      </c>
      <c r="G185" s="7" t="s">
        <v>18</v>
      </c>
      <c r="H185" s="7"/>
      <c r="I185" s="7"/>
      <c r="J185" s="7"/>
      <c r="K185" s="7"/>
      <c r="L185" s="8" t="s">
        <v>426</v>
      </c>
      <c r="M185" s="9">
        <f t="shared" si="1"/>
        <v>-130.25</v>
      </c>
    </row>
    <row r="186" ht="15.75" customHeight="1">
      <c r="A186" s="5" t="s">
        <v>420</v>
      </c>
      <c r="B186" s="6">
        <v>219.0</v>
      </c>
      <c r="C186" s="7" t="s">
        <v>14</v>
      </c>
      <c r="D186" s="7" t="s">
        <v>427</v>
      </c>
      <c r="E186" s="7" t="s">
        <v>24</v>
      </c>
      <c r="F186" s="7" t="s">
        <v>17</v>
      </c>
      <c r="G186" s="7" t="s">
        <v>18</v>
      </c>
      <c r="H186" s="7"/>
      <c r="I186" s="7"/>
      <c r="J186" s="7"/>
      <c r="K186" s="7"/>
      <c r="L186" s="8" t="s">
        <v>428</v>
      </c>
      <c r="M186" s="9">
        <f t="shared" si="1"/>
        <v>-219</v>
      </c>
    </row>
    <row r="187" ht="15.75" customHeight="1">
      <c r="A187" s="5" t="s">
        <v>429</v>
      </c>
      <c r="B187" s="6">
        <v>9.0</v>
      </c>
      <c r="C187" s="7" t="s">
        <v>14</v>
      </c>
      <c r="D187" s="7" t="s">
        <v>430</v>
      </c>
      <c r="E187" s="7" t="s">
        <v>16</v>
      </c>
      <c r="F187" s="7" t="s">
        <v>17</v>
      </c>
      <c r="G187" s="7" t="s">
        <v>18</v>
      </c>
      <c r="H187" s="7"/>
      <c r="I187" s="7"/>
      <c r="J187" s="7"/>
      <c r="K187" s="7"/>
      <c r="L187" s="8" t="s">
        <v>431</v>
      </c>
      <c r="M187" s="9">
        <f t="shared" si="1"/>
        <v>-9</v>
      </c>
    </row>
    <row r="188" ht="15.75" customHeight="1">
      <c r="A188" s="5" t="s">
        <v>429</v>
      </c>
      <c r="B188" s="6">
        <v>28.0</v>
      </c>
      <c r="C188" s="7" t="s">
        <v>14</v>
      </c>
      <c r="D188" s="7" t="s">
        <v>223</v>
      </c>
      <c r="E188" s="7" t="s">
        <v>16</v>
      </c>
      <c r="F188" s="7" t="s">
        <v>17</v>
      </c>
      <c r="G188" s="7" t="s">
        <v>18</v>
      </c>
      <c r="H188" s="7"/>
      <c r="I188" s="7"/>
      <c r="J188" s="7"/>
      <c r="K188" s="7"/>
      <c r="L188" s="8" t="s">
        <v>432</v>
      </c>
      <c r="M188" s="9">
        <f t="shared" si="1"/>
        <v>-28</v>
      </c>
    </row>
    <row r="189" ht="15.75" customHeight="1">
      <c r="A189" s="5" t="s">
        <v>429</v>
      </c>
      <c r="B189" s="6">
        <v>314.0</v>
      </c>
      <c r="C189" s="7" t="s">
        <v>14</v>
      </c>
      <c r="D189" s="7" t="s">
        <v>433</v>
      </c>
      <c r="E189" s="7" t="s">
        <v>16</v>
      </c>
      <c r="F189" s="7" t="s">
        <v>17</v>
      </c>
      <c r="G189" s="7" t="s">
        <v>18</v>
      </c>
      <c r="H189" s="7"/>
      <c r="I189" s="7"/>
      <c r="J189" s="7"/>
      <c r="K189" s="7"/>
      <c r="L189" s="8" t="s">
        <v>434</v>
      </c>
      <c r="M189" s="9">
        <f t="shared" si="1"/>
        <v>-314</v>
      </c>
    </row>
    <row r="190" ht="15.75" customHeight="1">
      <c r="A190" s="5" t="s">
        <v>429</v>
      </c>
      <c r="B190" s="6">
        <v>3.0</v>
      </c>
      <c r="C190" s="7" t="s">
        <v>14</v>
      </c>
      <c r="D190" s="7" t="s">
        <v>223</v>
      </c>
      <c r="E190" s="7" t="s">
        <v>16</v>
      </c>
      <c r="F190" s="7" t="s">
        <v>17</v>
      </c>
      <c r="G190" s="7" t="s">
        <v>18</v>
      </c>
      <c r="H190" s="7"/>
      <c r="I190" s="7"/>
      <c r="J190" s="7"/>
      <c r="K190" s="7"/>
      <c r="L190" s="8" t="s">
        <v>435</v>
      </c>
      <c r="M190" s="9">
        <f t="shared" si="1"/>
        <v>-3</v>
      </c>
    </row>
    <row r="191" ht="15.75" customHeight="1">
      <c r="A191" s="5" t="s">
        <v>429</v>
      </c>
      <c r="B191" s="6">
        <v>156.0</v>
      </c>
      <c r="C191" s="7" t="s">
        <v>14</v>
      </c>
      <c r="D191" s="7" t="s">
        <v>436</v>
      </c>
      <c r="E191" s="7" t="s">
        <v>16</v>
      </c>
      <c r="F191" s="7" t="s">
        <v>17</v>
      </c>
      <c r="G191" s="7" t="s">
        <v>18</v>
      </c>
      <c r="H191" s="7"/>
      <c r="I191" s="7"/>
      <c r="J191" s="7"/>
      <c r="K191" s="7"/>
      <c r="L191" s="8" t="s">
        <v>437</v>
      </c>
      <c r="M191" s="9">
        <f t="shared" si="1"/>
        <v>-156</v>
      </c>
    </row>
    <row r="192" ht="15.75" customHeight="1">
      <c r="A192" s="5" t="s">
        <v>438</v>
      </c>
      <c r="B192" s="6">
        <v>44.19</v>
      </c>
      <c r="C192" s="7" t="s">
        <v>14</v>
      </c>
      <c r="D192" s="7" t="s">
        <v>180</v>
      </c>
      <c r="E192" s="7" t="s">
        <v>24</v>
      </c>
      <c r="F192" s="7" t="s">
        <v>17</v>
      </c>
      <c r="G192" s="7" t="s">
        <v>18</v>
      </c>
      <c r="H192" s="7"/>
      <c r="I192" s="7"/>
      <c r="J192" s="7"/>
      <c r="K192" s="7"/>
      <c r="L192" s="8" t="s">
        <v>439</v>
      </c>
      <c r="M192" s="9">
        <f t="shared" si="1"/>
        <v>-44.19</v>
      </c>
    </row>
    <row r="193" ht="15.75" customHeight="1">
      <c r="A193" s="5" t="s">
        <v>440</v>
      </c>
      <c r="B193" s="6">
        <v>578.0</v>
      </c>
      <c r="C193" s="7" t="s">
        <v>14</v>
      </c>
      <c r="D193" s="7" t="s">
        <v>441</v>
      </c>
      <c r="E193" s="7" t="s">
        <v>16</v>
      </c>
      <c r="F193" s="7" t="s">
        <v>17</v>
      </c>
      <c r="G193" s="7" t="s">
        <v>18</v>
      </c>
      <c r="H193" s="7"/>
      <c r="I193" s="7"/>
      <c r="J193" s="7"/>
      <c r="K193" s="7"/>
      <c r="L193" s="8" t="s">
        <v>442</v>
      </c>
      <c r="M193" s="9">
        <f t="shared" si="1"/>
        <v>-578</v>
      </c>
    </row>
    <row r="194" ht="15.75" customHeight="1">
      <c r="A194" s="5" t="s">
        <v>443</v>
      </c>
      <c r="B194" s="6">
        <v>42.0</v>
      </c>
      <c r="C194" s="7" t="s">
        <v>14</v>
      </c>
      <c r="D194" s="7" t="s">
        <v>86</v>
      </c>
      <c r="E194" s="7" t="s">
        <v>16</v>
      </c>
      <c r="F194" s="7" t="s">
        <v>17</v>
      </c>
      <c r="G194" s="7" t="s">
        <v>18</v>
      </c>
      <c r="H194" s="7"/>
      <c r="I194" s="7"/>
      <c r="J194" s="7"/>
      <c r="K194" s="7"/>
      <c r="L194" s="8" t="s">
        <v>444</v>
      </c>
      <c r="M194" s="9">
        <f t="shared" si="1"/>
        <v>-42</v>
      </c>
    </row>
    <row r="195" ht="15.75" customHeight="1">
      <c r="A195" s="5" t="s">
        <v>445</v>
      </c>
      <c r="B195" s="6">
        <v>65.6</v>
      </c>
      <c r="C195" s="7" t="s">
        <v>14</v>
      </c>
      <c r="D195" s="7" t="s">
        <v>94</v>
      </c>
      <c r="E195" s="7" t="s">
        <v>16</v>
      </c>
      <c r="F195" s="7" t="s">
        <v>17</v>
      </c>
      <c r="G195" s="7" t="s">
        <v>18</v>
      </c>
      <c r="H195" s="7"/>
      <c r="I195" s="7"/>
      <c r="J195" s="7"/>
      <c r="K195" s="7"/>
      <c r="L195" s="8" t="s">
        <v>446</v>
      </c>
      <c r="M195" s="9">
        <f t="shared" si="1"/>
        <v>-65.6</v>
      </c>
    </row>
    <row r="196" ht="15.75" customHeight="1">
      <c r="A196" s="5" t="s">
        <v>447</v>
      </c>
      <c r="B196" s="6">
        <v>53.2</v>
      </c>
      <c r="C196" s="7" t="s">
        <v>14</v>
      </c>
      <c r="D196" s="7" t="s">
        <v>94</v>
      </c>
      <c r="E196" s="7" t="s">
        <v>16</v>
      </c>
      <c r="F196" s="7" t="s">
        <v>17</v>
      </c>
      <c r="G196" s="7" t="s">
        <v>18</v>
      </c>
      <c r="H196" s="7"/>
      <c r="I196" s="7"/>
      <c r="J196" s="7"/>
      <c r="K196" s="7"/>
      <c r="L196" s="8" t="s">
        <v>448</v>
      </c>
      <c r="M196" s="9">
        <f t="shared" si="1"/>
        <v>-53.2</v>
      </c>
    </row>
    <row r="197" ht="15.75" customHeight="1">
      <c r="A197" s="5" t="s">
        <v>449</v>
      </c>
      <c r="B197" s="6">
        <v>18.0</v>
      </c>
      <c r="C197" s="7" t="s">
        <v>14</v>
      </c>
      <c r="D197" s="7" t="s">
        <v>94</v>
      </c>
      <c r="E197" s="7" t="s">
        <v>16</v>
      </c>
      <c r="F197" s="7" t="s">
        <v>17</v>
      </c>
      <c r="G197" s="7" t="s">
        <v>18</v>
      </c>
      <c r="H197" s="7"/>
      <c r="I197" s="7"/>
      <c r="J197" s="7"/>
      <c r="K197" s="7"/>
      <c r="L197" s="8" t="s">
        <v>450</v>
      </c>
      <c r="M197" s="9">
        <f t="shared" si="1"/>
        <v>-18</v>
      </c>
    </row>
    <row r="198" ht="15.75" customHeight="1">
      <c r="A198" s="5" t="s">
        <v>451</v>
      </c>
      <c r="B198" s="6">
        <v>40.0</v>
      </c>
      <c r="C198" s="7" t="s">
        <v>14</v>
      </c>
      <c r="D198" s="7" t="s">
        <v>94</v>
      </c>
      <c r="E198" s="7" t="s">
        <v>16</v>
      </c>
      <c r="F198" s="7" t="s">
        <v>17</v>
      </c>
      <c r="G198" s="7" t="s">
        <v>18</v>
      </c>
      <c r="H198" s="7"/>
      <c r="I198" s="7"/>
      <c r="J198" s="7"/>
      <c r="K198" s="7"/>
      <c r="L198" s="8" t="s">
        <v>452</v>
      </c>
      <c r="M198" s="9">
        <f t="shared" si="1"/>
        <v>-40</v>
      </c>
    </row>
    <row r="199" ht="15.75" customHeight="1">
      <c r="A199" s="5" t="s">
        <v>453</v>
      </c>
      <c r="B199" s="6">
        <v>27.6</v>
      </c>
      <c r="C199" s="7" t="s">
        <v>14</v>
      </c>
      <c r="D199" s="7" t="s">
        <v>94</v>
      </c>
      <c r="E199" s="7" t="s">
        <v>16</v>
      </c>
      <c r="F199" s="7" t="s">
        <v>17</v>
      </c>
      <c r="G199" s="7" t="s">
        <v>18</v>
      </c>
      <c r="H199" s="7"/>
      <c r="I199" s="7"/>
      <c r="J199" s="7"/>
      <c r="K199" s="7"/>
      <c r="L199" s="8" t="s">
        <v>454</v>
      </c>
      <c r="M199" s="9">
        <f t="shared" si="1"/>
        <v>-27.6</v>
      </c>
    </row>
    <row r="200" ht="15.75" customHeight="1">
      <c r="A200" s="5" t="s">
        <v>455</v>
      </c>
      <c r="B200" s="6">
        <v>59.0</v>
      </c>
      <c r="C200" s="7" t="s">
        <v>14</v>
      </c>
      <c r="D200" s="7" t="s">
        <v>94</v>
      </c>
      <c r="E200" s="7" t="s">
        <v>16</v>
      </c>
      <c r="F200" s="7" t="s">
        <v>17</v>
      </c>
      <c r="G200" s="7" t="s">
        <v>18</v>
      </c>
      <c r="H200" s="7"/>
      <c r="I200" s="7"/>
      <c r="J200" s="7"/>
      <c r="K200" s="7"/>
      <c r="L200" s="8" t="s">
        <v>456</v>
      </c>
      <c r="M200" s="9">
        <f t="shared" si="1"/>
        <v>-59</v>
      </c>
    </row>
    <row r="201" ht="15.75" customHeight="1">
      <c r="A201" s="5" t="s">
        <v>457</v>
      </c>
      <c r="B201" s="6">
        <v>420.0</v>
      </c>
      <c r="C201" s="7" t="s">
        <v>14</v>
      </c>
      <c r="D201" s="7" t="s">
        <v>458</v>
      </c>
      <c r="E201" s="7" t="s">
        <v>16</v>
      </c>
      <c r="F201" s="7" t="s">
        <v>17</v>
      </c>
      <c r="G201" s="7" t="s">
        <v>18</v>
      </c>
      <c r="H201" s="7"/>
      <c r="I201" s="7"/>
      <c r="J201" s="7"/>
      <c r="K201" s="7"/>
      <c r="L201" s="8" t="s">
        <v>459</v>
      </c>
      <c r="M201" s="9">
        <f t="shared" si="1"/>
        <v>-420</v>
      </c>
    </row>
    <row r="202" ht="15.75" customHeight="1">
      <c r="A202" s="5" t="s">
        <v>460</v>
      </c>
      <c r="B202" s="6">
        <v>60.0</v>
      </c>
      <c r="C202" s="7" t="s">
        <v>14</v>
      </c>
      <c r="D202" s="7" t="s">
        <v>260</v>
      </c>
      <c r="E202" s="7" t="s">
        <v>42</v>
      </c>
      <c r="F202" s="7" t="s">
        <v>43</v>
      </c>
      <c r="G202" s="7" t="s">
        <v>44</v>
      </c>
      <c r="H202" s="7"/>
      <c r="I202" s="7"/>
      <c r="J202" s="7"/>
      <c r="K202" s="7"/>
      <c r="L202" s="8" t="s">
        <v>461</v>
      </c>
      <c r="M202" s="9">
        <f t="shared" si="1"/>
        <v>60</v>
      </c>
    </row>
    <row r="203" ht="15.75" customHeight="1">
      <c r="A203" s="5" t="s">
        <v>462</v>
      </c>
      <c r="B203" s="6">
        <v>169.0</v>
      </c>
      <c r="C203" s="7" t="s">
        <v>14</v>
      </c>
      <c r="D203" s="7" t="s">
        <v>94</v>
      </c>
      <c r="E203" s="7" t="s">
        <v>16</v>
      </c>
      <c r="F203" s="7" t="s">
        <v>17</v>
      </c>
      <c r="G203" s="7" t="s">
        <v>18</v>
      </c>
      <c r="H203" s="7"/>
      <c r="I203" s="7"/>
      <c r="J203" s="7"/>
      <c r="K203" s="7"/>
      <c r="L203" s="8" t="s">
        <v>463</v>
      </c>
      <c r="M203" s="9">
        <f t="shared" si="1"/>
        <v>-169</v>
      </c>
    </row>
    <row r="204" ht="15.75" customHeight="1">
      <c r="A204" s="5" t="s">
        <v>464</v>
      </c>
      <c r="B204" s="6">
        <v>59.0</v>
      </c>
      <c r="C204" s="7" t="s">
        <v>14</v>
      </c>
      <c r="D204" s="7" t="s">
        <v>94</v>
      </c>
      <c r="E204" s="7" t="s">
        <v>16</v>
      </c>
      <c r="F204" s="7" t="s">
        <v>17</v>
      </c>
      <c r="G204" s="7" t="s">
        <v>18</v>
      </c>
      <c r="H204" s="7"/>
      <c r="I204" s="7"/>
      <c r="J204" s="7"/>
      <c r="K204" s="7"/>
      <c r="L204" s="8" t="s">
        <v>465</v>
      </c>
      <c r="M204" s="9">
        <f t="shared" si="1"/>
        <v>-59</v>
      </c>
    </row>
    <row r="205" ht="15.75" customHeight="1">
      <c r="A205" s="5" t="s">
        <v>466</v>
      </c>
      <c r="B205" s="6">
        <v>5.0</v>
      </c>
      <c r="C205" s="7" t="s">
        <v>107</v>
      </c>
      <c r="D205" s="7" t="s">
        <v>163</v>
      </c>
      <c r="E205" s="7" t="s">
        <v>16</v>
      </c>
      <c r="F205" s="7" t="s">
        <v>17</v>
      </c>
      <c r="G205" s="7" t="s">
        <v>18</v>
      </c>
      <c r="H205" s="7"/>
      <c r="I205" s="7"/>
      <c r="J205" s="7"/>
      <c r="K205" s="7"/>
      <c r="L205" s="8" t="s">
        <v>467</v>
      </c>
      <c r="M205" s="9">
        <f t="shared" si="1"/>
        <v>-5</v>
      </c>
    </row>
    <row r="206" ht="15.75" customHeight="1">
      <c r="A206" s="5" t="s">
        <v>468</v>
      </c>
      <c r="B206" s="6">
        <v>43.92</v>
      </c>
      <c r="C206" s="7" t="s">
        <v>14</v>
      </c>
      <c r="D206" s="7" t="s">
        <v>180</v>
      </c>
      <c r="E206" s="7" t="s">
        <v>24</v>
      </c>
      <c r="F206" s="7" t="s">
        <v>17</v>
      </c>
      <c r="G206" s="7" t="s">
        <v>18</v>
      </c>
      <c r="H206" s="7"/>
      <c r="I206" s="7"/>
      <c r="J206" s="7"/>
      <c r="K206" s="7"/>
      <c r="L206" s="8" t="s">
        <v>469</v>
      </c>
      <c r="M206" s="9">
        <f t="shared" si="1"/>
        <v>-43.92</v>
      </c>
    </row>
    <row r="207" ht="15.75" customHeight="1">
      <c r="A207" s="5" t="s">
        <v>470</v>
      </c>
      <c r="B207" s="6">
        <v>2500.0</v>
      </c>
      <c r="C207" s="7" t="s">
        <v>14</v>
      </c>
      <c r="D207" s="7" t="s">
        <v>354</v>
      </c>
      <c r="E207" s="7" t="s">
        <v>354</v>
      </c>
      <c r="F207" s="7" t="s">
        <v>43</v>
      </c>
      <c r="G207" s="7" t="s">
        <v>44</v>
      </c>
      <c r="H207" s="7"/>
      <c r="I207" s="7"/>
      <c r="J207" s="7"/>
      <c r="K207" s="7"/>
      <c r="L207" s="8" t="s">
        <v>471</v>
      </c>
      <c r="M207" s="9">
        <f t="shared" si="1"/>
        <v>2500</v>
      </c>
    </row>
    <row r="208" ht="15.75" customHeight="1">
      <c r="A208" s="5" t="s">
        <v>472</v>
      </c>
      <c r="B208" s="6">
        <v>79.0</v>
      </c>
      <c r="C208" s="7" t="s">
        <v>14</v>
      </c>
      <c r="D208" s="7" t="s">
        <v>94</v>
      </c>
      <c r="E208" s="7" t="s">
        <v>16</v>
      </c>
      <c r="F208" s="7" t="s">
        <v>17</v>
      </c>
      <c r="G208" s="7" t="s">
        <v>18</v>
      </c>
      <c r="H208" s="7"/>
      <c r="I208" s="7"/>
      <c r="J208" s="7"/>
      <c r="K208" s="7"/>
      <c r="L208" s="8" t="s">
        <v>473</v>
      </c>
      <c r="M208" s="9">
        <f t="shared" si="1"/>
        <v>-79</v>
      </c>
    </row>
    <row r="209" ht="15.75" customHeight="1">
      <c r="A209" s="5" t="s">
        <v>474</v>
      </c>
      <c r="B209" s="6">
        <v>25.0</v>
      </c>
      <c r="C209" s="7" t="s">
        <v>14</v>
      </c>
      <c r="D209" s="7" t="s">
        <v>258</v>
      </c>
      <c r="E209" s="7" t="s">
        <v>42</v>
      </c>
      <c r="F209" s="7" t="s">
        <v>43</v>
      </c>
      <c r="G209" s="7" t="s">
        <v>44</v>
      </c>
      <c r="H209" s="7"/>
      <c r="I209" s="7"/>
      <c r="J209" s="7"/>
      <c r="K209" s="7"/>
      <c r="L209" s="8" t="s">
        <v>475</v>
      </c>
      <c r="M209" s="9">
        <f t="shared" si="1"/>
        <v>25</v>
      </c>
    </row>
    <row r="210" ht="15.75" customHeight="1">
      <c r="A210" s="5" t="s">
        <v>476</v>
      </c>
      <c r="B210" s="6">
        <v>103.4</v>
      </c>
      <c r="C210" s="7" t="s">
        <v>14</v>
      </c>
      <c r="D210" s="7" t="s">
        <v>94</v>
      </c>
      <c r="E210" s="7" t="s">
        <v>16</v>
      </c>
      <c r="F210" s="7" t="s">
        <v>17</v>
      </c>
      <c r="G210" s="7" t="s">
        <v>18</v>
      </c>
      <c r="H210" s="7"/>
      <c r="I210" s="7"/>
      <c r="J210" s="7"/>
      <c r="K210" s="7"/>
      <c r="L210" s="8" t="s">
        <v>477</v>
      </c>
      <c r="M210" s="9">
        <f t="shared" si="1"/>
        <v>-103.4</v>
      </c>
    </row>
    <row r="211" ht="15.75" customHeight="1">
      <c r="A211" s="5" t="s">
        <v>478</v>
      </c>
      <c r="B211" s="6">
        <v>30.0</v>
      </c>
      <c r="C211" s="7" t="s">
        <v>14</v>
      </c>
      <c r="D211" s="7" t="s">
        <v>284</v>
      </c>
      <c r="E211" s="7" t="s">
        <v>16</v>
      </c>
      <c r="F211" s="7" t="s">
        <v>17</v>
      </c>
      <c r="G211" s="7" t="s">
        <v>18</v>
      </c>
      <c r="H211" s="7"/>
      <c r="I211" s="7"/>
      <c r="J211" s="7"/>
      <c r="K211" s="7"/>
      <c r="L211" s="8" t="s">
        <v>479</v>
      </c>
      <c r="M211" s="9">
        <f t="shared" si="1"/>
        <v>-30</v>
      </c>
    </row>
    <row r="212" ht="15.75" customHeight="1">
      <c r="A212" s="5" t="s">
        <v>480</v>
      </c>
      <c r="B212" s="6">
        <v>34.3</v>
      </c>
      <c r="C212" s="7" t="s">
        <v>14</v>
      </c>
      <c r="D212" s="7" t="s">
        <v>94</v>
      </c>
      <c r="E212" s="7" t="s">
        <v>16</v>
      </c>
      <c r="F212" s="7" t="s">
        <v>17</v>
      </c>
      <c r="G212" s="7" t="s">
        <v>18</v>
      </c>
      <c r="H212" s="7"/>
      <c r="I212" s="7"/>
      <c r="J212" s="7"/>
      <c r="K212" s="7"/>
      <c r="L212" s="8" t="s">
        <v>481</v>
      </c>
      <c r="M212" s="9">
        <f t="shared" si="1"/>
        <v>-34.3</v>
      </c>
    </row>
    <row r="213" ht="15.75" customHeight="1">
      <c r="A213" s="5" t="s">
        <v>482</v>
      </c>
      <c r="B213" s="6">
        <v>25.0</v>
      </c>
      <c r="C213" s="7" t="s">
        <v>14</v>
      </c>
      <c r="D213" s="7" t="s">
        <v>68</v>
      </c>
      <c r="E213" s="7" t="s">
        <v>16</v>
      </c>
      <c r="F213" s="7" t="s">
        <v>17</v>
      </c>
      <c r="G213" s="7" t="s">
        <v>18</v>
      </c>
      <c r="H213" s="7"/>
      <c r="I213" s="7"/>
      <c r="J213" s="7"/>
      <c r="K213" s="7"/>
      <c r="L213" s="8" t="s">
        <v>483</v>
      </c>
      <c r="M213" s="9">
        <f t="shared" si="1"/>
        <v>-25</v>
      </c>
    </row>
    <row r="214" ht="15.75" customHeight="1">
      <c r="A214" s="5" t="s">
        <v>482</v>
      </c>
      <c r="B214" s="6">
        <v>60.0</v>
      </c>
      <c r="C214" s="7" t="s">
        <v>107</v>
      </c>
      <c r="D214" s="7" t="s">
        <v>244</v>
      </c>
      <c r="E214" s="7" t="s">
        <v>16</v>
      </c>
      <c r="F214" s="7" t="s">
        <v>17</v>
      </c>
      <c r="G214" s="7" t="s">
        <v>18</v>
      </c>
      <c r="H214" s="7"/>
      <c r="I214" s="7"/>
      <c r="J214" s="7"/>
      <c r="K214" s="7"/>
      <c r="L214" s="8" t="s">
        <v>484</v>
      </c>
      <c r="M214" s="9">
        <f t="shared" si="1"/>
        <v>-60</v>
      </c>
    </row>
    <row r="215" ht="15.75" customHeight="1">
      <c r="A215" s="5" t="s">
        <v>485</v>
      </c>
      <c r="B215" s="6">
        <v>13.94</v>
      </c>
      <c r="C215" s="7" t="s">
        <v>14</v>
      </c>
      <c r="D215" s="7" t="s">
        <v>21</v>
      </c>
      <c r="E215" s="7" t="s">
        <v>16</v>
      </c>
      <c r="F215" s="7" t="s">
        <v>17</v>
      </c>
      <c r="G215" s="7" t="s">
        <v>18</v>
      </c>
      <c r="H215" s="7"/>
      <c r="I215" s="7"/>
      <c r="J215" s="7"/>
      <c r="K215" s="7"/>
      <c r="L215" s="8" t="s">
        <v>486</v>
      </c>
      <c r="M215" s="9">
        <f t="shared" si="1"/>
        <v>-13.94</v>
      </c>
    </row>
    <row r="216" ht="15.75" customHeight="1">
      <c r="A216" s="5" t="s">
        <v>487</v>
      </c>
      <c r="B216" s="6">
        <v>65.3</v>
      </c>
      <c r="C216" s="7" t="s">
        <v>14</v>
      </c>
      <c r="D216" s="7" t="s">
        <v>94</v>
      </c>
      <c r="E216" s="7" t="s">
        <v>16</v>
      </c>
      <c r="F216" s="7" t="s">
        <v>17</v>
      </c>
      <c r="G216" s="7" t="s">
        <v>18</v>
      </c>
      <c r="H216" s="7"/>
      <c r="I216" s="7"/>
      <c r="J216" s="7"/>
      <c r="K216" s="7"/>
      <c r="L216" s="8" t="s">
        <v>488</v>
      </c>
      <c r="M216" s="9">
        <f t="shared" si="1"/>
        <v>-65.3</v>
      </c>
    </row>
    <row r="217" ht="15.75" customHeight="1">
      <c r="A217" s="5" t="s">
        <v>489</v>
      </c>
      <c r="B217" s="6">
        <v>51.2</v>
      </c>
      <c r="C217" s="7" t="s">
        <v>14</v>
      </c>
      <c r="D217" s="7" t="s">
        <v>94</v>
      </c>
      <c r="E217" s="7" t="s">
        <v>16</v>
      </c>
      <c r="F217" s="7" t="s">
        <v>17</v>
      </c>
      <c r="G217" s="7" t="s">
        <v>18</v>
      </c>
      <c r="H217" s="7"/>
      <c r="I217" s="7"/>
      <c r="J217" s="7"/>
      <c r="K217" s="7"/>
      <c r="L217" s="8" t="s">
        <v>490</v>
      </c>
      <c r="M217" s="9">
        <f t="shared" si="1"/>
        <v>-51.2</v>
      </c>
    </row>
    <row r="218" ht="15.75" customHeight="1">
      <c r="A218" s="5" t="s">
        <v>491</v>
      </c>
      <c r="B218" s="6">
        <v>25.0</v>
      </c>
      <c r="C218" s="7" t="s">
        <v>14</v>
      </c>
      <c r="D218" s="7" t="s">
        <v>68</v>
      </c>
      <c r="E218" s="7" t="s">
        <v>16</v>
      </c>
      <c r="F218" s="7" t="s">
        <v>17</v>
      </c>
      <c r="G218" s="7" t="s">
        <v>18</v>
      </c>
      <c r="H218" s="7"/>
      <c r="I218" s="7"/>
      <c r="J218" s="7"/>
      <c r="K218" s="7"/>
      <c r="L218" s="8" t="s">
        <v>492</v>
      </c>
      <c r="M218" s="9">
        <f t="shared" si="1"/>
        <v>-25</v>
      </c>
    </row>
    <row r="219" ht="15.75" customHeight="1">
      <c r="A219" s="5" t="s">
        <v>493</v>
      </c>
      <c r="B219" s="6">
        <v>160.0</v>
      </c>
      <c r="C219" s="7" t="s">
        <v>14</v>
      </c>
      <c r="D219" s="7" t="s">
        <v>284</v>
      </c>
      <c r="E219" s="7" t="s">
        <v>16</v>
      </c>
      <c r="F219" s="7" t="s">
        <v>17</v>
      </c>
      <c r="G219" s="7" t="s">
        <v>18</v>
      </c>
      <c r="H219" s="7"/>
      <c r="I219" s="7"/>
      <c r="J219" s="7"/>
      <c r="K219" s="7"/>
      <c r="L219" s="8" t="s">
        <v>494</v>
      </c>
      <c r="M219" s="9">
        <f t="shared" si="1"/>
        <v>-160</v>
      </c>
    </row>
    <row r="220" ht="15.75" customHeight="1">
      <c r="A220" s="5" t="s">
        <v>495</v>
      </c>
      <c r="B220" s="6">
        <v>80.0</v>
      </c>
      <c r="C220" s="7" t="s">
        <v>14</v>
      </c>
      <c r="D220" s="7" t="s">
        <v>30</v>
      </c>
      <c r="E220" s="7" t="s">
        <v>24</v>
      </c>
      <c r="F220" s="7" t="s">
        <v>17</v>
      </c>
      <c r="G220" s="7" t="s">
        <v>18</v>
      </c>
      <c r="H220" s="7"/>
      <c r="I220" s="7"/>
      <c r="J220" s="7"/>
      <c r="K220" s="7"/>
      <c r="L220" s="8" t="s">
        <v>496</v>
      </c>
      <c r="M220" s="9">
        <f t="shared" si="1"/>
        <v>-80</v>
      </c>
    </row>
    <row r="221" ht="15.75" customHeight="1">
      <c r="A221" s="5" t="s">
        <v>495</v>
      </c>
      <c r="B221" s="6">
        <v>80.0</v>
      </c>
      <c r="C221" s="7" t="s">
        <v>14</v>
      </c>
      <c r="D221" s="7" t="s">
        <v>30</v>
      </c>
      <c r="E221" s="7" t="s">
        <v>24</v>
      </c>
      <c r="F221" s="7" t="s">
        <v>17</v>
      </c>
      <c r="G221" s="7" t="s">
        <v>18</v>
      </c>
      <c r="H221" s="7"/>
      <c r="I221" s="7"/>
      <c r="J221" s="7"/>
      <c r="K221" s="7"/>
      <c r="L221" s="8" t="s">
        <v>497</v>
      </c>
      <c r="M221" s="9">
        <f t="shared" si="1"/>
        <v>-80</v>
      </c>
    </row>
    <row r="222" ht="15.75" customHeight="1">
      <c r="A222" s="5" t="s">
        <v>498</v>
      </c>
      <c r="B222" s="6">
        <v>10.0</v>
      </c>
      <c r="C222" s="7" t="s">
        <v>107</v>
      </c>
      <c r="D222" s="7" t="s">
        <v>108</v>
      </c>
      <c r="E222" s="7" t="s">
        <v>24</v>
      </c>
      <c r="F222" s="7" t="s">
        <v>17</v>
      </c>
      <c r="G222" s="7" t="s">
        <v>18</v>
      </c>
      <c r="H222" s="7"/>
      <c r="I222" s="7"/>
      <c r="J222" s="7"/>
      <c r="K222" s="7"/>
      <c r="L222" s="8" t="s">
        <v>499</v>
      </c>
      <c r="M222" s="9">
        <f t="shared" si="1"/>
        <v>-10</v>
      </c>
    </row>
    <row r="223" ht="15.75" customHeight="1">
      <c r="A223" s="5" t="s">
        <v>500</v>
      </c>
      <c r="B223" s="6">
        <v>21.56</v>
      </c>
      <c r="C223" s="7" t="s">
        <v>14</v>
      </c>
      <c r="D223" s="7" t="s">
        <v>94</v>
      </c>
      <c r="E223" s="7" t="s">
        <v>16</v>
      </c>
      <c r="F223" s="7" t="s">
        <v>17</v>
      </c>
      <c r="G223" s="7" t="s">
        <v>18</v>
      </c>
      <c r="H223" s="7"/>
      <c r="I223" s="7"/>
      <c r="J223" s="7"/>
      <c r="K223" s="7"/>
      <c r="L223" s="8" t="s">
        <v>501</v>
      </c>
      <c r="M223" s="9">
        <f t="shared" si="1"/>
        <v>-21.56</v>
      </c>
    </row>
    <row r="224" ht="15.75" customHeight="1">
      <c r="A224" s="5" t="s">
        <v>502</v>
      </c>
      <c r="B224" s="6">
        <v>160.0</v>
      </c>
      <c r="C224" s="7" t="s">
        <v>14</v>
      </c>
      <c r="D224" s="7" t="s">
        <v>503</v>
      </c>
      <c r="E224" s="7" t="s">
        <v>16</v>
      </c>
      <c r="F224" s="7" t="s">
        <v>17</v>
      </c>
      <c r="G224" s="7" t="s">
        <v>18</v>
      </c>
      <c r="H224" s="7"/>
      <c r="I224" s="7"/>
      <c r="J224" s="7"/>
      <c r="K224" s="7"/>
      <c r="L224" s="8" t="s">
        <v>504</v>
      </c>
      <c r="M224" s="9">
        <f t="shared" si="1"/>
        <v>-160</v>
      </c>
    </row>
    <row r="225" ht="15.75" customHeight="1">
      <c r="A225" s="5" t="s">
        <v>502</v>
      </c>
      <c r="B225" s="6">
        <v>1.81</v>
      </c>
      <c r="C225" s="7" t="s">
        <v>107</v>
      </c>
      <c r="D225" s="7" t="s">
        <v>165</v>
      </c>
      <c r="E225" s="7" t="s">
        <v>505</v>
      </c>
      <c r="F225" s="7" t="s">
        <v>17</v>
      </c>
      <c r="G225" s="7" t="s">
        <v>18</v>
      </c>
      <c r="H225" s="7"/>
      <c r="I225" s="7"/>
      <c r="J225" s="7"/>
      <c r="K225" s="7"/>
      <c r="L225" s="8" t="s">
        <v>506</v>
      </c>
      <c r="M225" s="9">
        <f t="shared" si="1"/>
        <v>-1.81</v>
      </c>
    </row>
    <row r="226" ht="15.75" customHeight="1">
      <c r="A226" s="5" t="s">
        <v>507</v>
      </c>
      <c r="B226" s="6">
        <v>78.5</v>
      </c>
      <c r="C226" s="7" t="s">
        <v>14</v>
      </c>
      <c r="D226" s="7" t="s">
        <v>68</v>
      </c>
      <c r="E226" s="7" t="s">
        <v>16</v>
      </c>
      <c r="F226" s="7" t="s">
        <v>17</v>
      </c>
      <c r="G226" s="7" t="s">
        <v>18</v>
      </c>
      <c r="H226" s="7"/>
      <c r="I226" s="7"/>
      <c r="J226" s="7"/>
      <c r="K226" s="7"/>
      <c r="L226" s="8" t="s">
        <v>508</v>
      </c>
      <c r="M226" s="9">
        <f t="shared" si="1"/>
        <v>-78.5</v>
      </c>
    </row>
    <row r="227" ht="15.75" customHeight="1">
      <c r="A227" s="5" t="s">
        <v>509</v>
      </c>
      <c r="B227" s="6">
        <v>2.1</v>
      </c>
      <c r="C227" s="7" t="s">
        <v>14</v>
      </c>
      <c r="D227" s="7" t="s">
        <v>510</v>
      </c>
      <c r="E227" s="7" t="s">
        <v>24</v>
      </c>
      <c r="F227" s="7" t="s">
        <v>17</v>
      </c>
      <c r="G227" s="7" t="s">
        <v>18</v>
      </c>
      <c r="H227" s="7"/>
      <c r="I227" s="7"/>
      <c r="J227" s="7"/>
      <c r="K227" s="7"/>
      <c r="L227" s="8" t="s">
        <v>511</v>
      </c>
      <c r="M227" s="9">
        <f t="shared" si="1"/>
        <v>-2.1</v>
      </c>
    </row>
    <row r="228" ht="15.75" customHeight="1">
      <c r="A228" s="5" t="s">
        <v>512</v>
      </c>
      <c r="B228" s="6">
        <v>179.0</v>
      </c>
      <c r="C228" s="7" t="s">
        <v>14</v>
      </c>
      <c r="D228" s="7" t="s">
        <v>513</v>
      </c>
      <c r="E228" s="7" t="s">
        <v>24</v>
      </c>
      <c r="F228" s="7" t="s">
        <v>17</v>
      </c>
      <c r="G228" s="7" t="s">
        <v>18</v>
      </c>
      <c r="H228" s="7"/>
      <c r="I228" s="7"/>
      <c r="J228" s="7"/>
      <c r="K228" s="7"/>
      <c r="L228" s="8" t="s">
        <v>514</v>
      </c>
      <c r="M228" s="9">
        <f t="shared" si="1"/>
        <v>-179</v>
      </c>
    </row>
    <row r="229" ht="15.75" customHeight="1">
      <c r="A229" s="5" t="s">
        <v>515</v>
      </c>
      <c r="B229" s="6">
        <v>60.0</v>
      </c>
      <c r="C229" s="7" t="s">
        <v>14</v>
      </c>
      <c r="D229" s="7" t="s">
        <v>516</v>
      </c>
      <c r="E229" s="7" t="s">
        <v>16</v>
      </c>
      <c r="F229" s="7" t="s">
        <v>17</v>
      </c>
      <c r="G229" s="7" t="s">
        <v>18</v>
      </c>
      <c r="H229" s="7"/>
      <c r="I229" s="7"/>
      <c r="J229" s="7"/>
      <c r="K229" s="7"/>
      <c r="L229" s="8" t="s">
        <v>517</v>
      </c>
      <c r="M229" s="9">
        <f t="shared" si="1"/>
        <v>-60</v>
      </c>
    </row>
    <row r="230" ht="15.75" customHeight="1">
      <c r="A230" s="5" t="s">
        <v>518</v>
      </c>
      <c r="B230" s="6">
        <v>250.0</v>
      </c>
      <c r="C230" s="7" t="s">
        <v>14</v>
      </c>
      <c r="D230" s="7" t="s">
        <v>519</v>
      </c>
      <c r="E230" s="10" t="s">
        <v>146</v>
      </c>
      <c r="F230" s="7" t="s">
        <v>17</v>
      </c>
      <c r="G230" s="10" t="s">
        <v>146</v>
      </c>
      <c r="H230" s="10"/>
      <c r="I230" s="10"/>
      <c r="J230" s="10"/>
      <c r="K230" s="10"/>
      <c r="L230" s="8" t="s">
        <v>520</v>
      </c>
      <c r="M230" s="9">
        <f t="shared" si="1"/>
        <v>-250</v>
      </c>
    </row>
    <row r="231" ht="15.75" customHeight="1">
      <c r="A231" s="5" t="s">
        <v>521</v>
      </c>
      <c r="B231" s="6">
        <v>17.92</v>
      </c>
      <c r="C231" s="7" t="s">
        <v>107</v>
      </c>
      <c r="D231" s="7" t="s">
        <v>522</v>
      </c>
      <c r="E231" s="7" t="s">
        <v>16</v>
      </c>
      <c r="F231" s="7" t="s">
        <v>17</v>
      </c>
      <c r="G231" s="7" t="s">
        <v>18</v>
      </c>
      <c r="H231" s="7"/>
      <c r="I231" s="7"/>
      <c r="J231" s="7"/>
      <c r="K231" s="7"/>
      <c r="L231" s="8" t="s">
        <v>523</v>
      </c>
      <c r="M231" s="9">
        <f t="shared" si="1"/>
        <v>-17.92</v>
      </c>
    </row>
    <row r="232" ht="15.75" customHeight="1">
      <c r="A232" s="5" t="s">
        <v>524</v>
      </c>
      <c r="B232" s="6">
        <v>37.94</v>
      </c>
      <c r="C232" s="7" t="s">
        <v>14</v>
      </c>
      <c r="D232" s="7" t="s">
        <v>94</v>
      </c>
      <c r="E232" s="7" t="s">
        <v>16</v>
      </c>
      <c r="F232" s="7" t="s">
        <v>17</v>
      </c>
      <c r="G232" s="7" t="s">
        <v>18</v>
      </c>
      <c r="H232" s="7"/>
      <c r="I232" s="7"/>
      <c r="J232" s="7"/>
      <c r="K232" s="7"/>
      <c r="L232" s="8" t="s">
        <v>525</v>
      </c>
      <c r="M232" s="9">
        <f t="shared" si="1"/>
        <v>-37.94</v>
      </c>
    </row>
    <row r="233" ht="15.75" customHeight="1">
      <c r="A233" s="5" t="s">
        <v>526</v>
      </c>
      <c r="B233" s="6">
        <v>52.0</v>
      </c>
      <c r="C233" s="7" t="s">
        <v>14</v>
      </c>
      <c r="D233" s="7" t="s">
        <v>180</v>
      </c>
      <c r="E233" s="7" t="s">
        <v>24</v>
      </c>
      <c r="F233" s="7" t="s">
        <v>17</v>
      </c>
      <c r="G233" s="7" t="s">
        <v>18</v>
      </c>
      <c r="H233" s="7"/>
      <c r="I233" s="7"/>
      <c r="J233" s="7"/>
      <c r="K233" s="7"/>
      <c r="L233" s="8" t="s">
        <v>527</v>
      </c>
      <c r="M233" s="9">
        <f t="shared" si="1"/>
        <v>-52</v>
      </c>
    </row>
    <row r="234" ht="15.75" customHeight="1">
      <c r="A234" s="5" t="s">
        <v>528</v>
      </c>
      <c r="B234" s="6">
        <v>25.2</v>
      </c>
      <c r="C234" s="7" t="s">
        <v>14</v>
      </c>
      <c r="D234" s="7" t="s">
        <v>94</v>
      </c>
      <c r="E234" s="7" t="s">
        <v>16</v>
      </c>
      <c r="F234" s="7" t="s">
        <v>17</v>
      </c>
      <c r="G234" s="7" t="s">
        <v>18</v>
      </c>
      <c r="H234" s="7"/>
      <c r="I234" s="7"/>
      <c r="J234" s="7"/>
      <c r="K234" s="7"/>
      <c r="L234" s="8" t="s">
        <v>529</v>
      </c>
      <c r="M234" s="9">
        <f t="shared" si="1"/>
        <v>-25.2</v>
      </c>
    </row>
    <row r="235" ht="15.75" customHeight="1">
      <c r="A235" s="5" t="s">
        <v>530</v>
      </c>
      <c r="B235" s="6">
        <v>20.0</v>
      </c>
      <c r="C235" s="7" t="s">
        <v>107</v>
      </c>
      <c r="D235" s="7" t="s">
        <v>110</v>
      </c>
      <c r="E235" s="7" t="s">
        <v>24</v>
      </c>
      <c r="F235" s="7" t="s">
        <v>17</v>
      </c>
      <c r="G235" s="7" t="s">
        <v>18</v>
      </c>
      <c r="H235" s="7"/>
      <c r="I235" s="7"/>
      <c r="J235" s="7"/>
      <c r="K235" s="7"/>
      <c r="L235" s="8" t="s">
        <v>531</v>
      </c>
      <c r="M235" s="9">
        <f t="shared" si="1"/>
        <v>-20</v>
      </c>
    </row>
    <row r="236" ht="15.75" customHeight="1">
      <c r="A236" s="5" t="s">
        <v>532</v>
      </c>
      <c r="B236" s="6">
        <v>19.0</v>
      </c>
      <c r="C236" s="7" t="s">
        <v>14</v>
      </c>
      <c r="D236" s="7" t="s">
        <v>86</v>
      </c>
      <c r="E236" s="7" t="s">
        <v>16</v>
      </c>
      <c r="F236" s="7" t="s">
        <v>17</v>
      </c>
      <c r="G236" s="7" t="s">
        <v>18</v>
      </c>
      <c r="H236" s="7"/>
      <c r="I236" s="7"/>
      <c r="J236" s="7"/>
      <c r="K236" s="7"/>
      <c r="L236" s="8" t="s">
        <v>533</v>
      </c>
      <c r="M236" s="9">
        <f t="shared" si="1"/>
        <v>-19</v>
      </c>
    </row>
    <row r="237" ht="15.75" customHeight="1">
      <c r="A237" s="5" t="s">
        <v>534</v>
      </c>
      <c r="B237" s="6">
        <v>27.0</v>
      </c>
      <c r="C237" s="7" t="s">
        <v>14</v>
      </c>
      <c r="D237" s="7" t="s">
        <v>86</v>
      </c>
      <c r="E237" s="7" t="s">
        <v>16</v>
      </c>
      <c r="F237" s="7" t="s">
        <v>17</v>
      </c>
      <c r="G237" s="7" t="s">
        <v>18</v>
      </c>
      <c r="H237" s="7"/>
      <c r="I237" s="7"/>
      <c r="J237" s="7"/>
      <c r="K237" s="7"/>
      <c r="L237" s="8" t="s">
        <v>535</v>
      </c>
      <c r="M237" s="9">
        <f t="shared" si="1"/>
        <v>-27</v>
      </c>
    </row>
    <row r="238" ht="15.75" customHeight="1">
      <c r="A238" s="5" t="s">
        <v>536</v>
      </c>
      <c r="B238" s="6">
        <v>493.42</v>
      </c>
      <c r="C238" s="7" t="s">
        <v>14</v>
      </c>
      <c r="D238" s="7" t="s">
        <v>537</v>
      </c>
      <c r="E238" s="7" t="s">
        <v>24</v>
      </c>
      <c r="F238" s="7" t="s">
        <v>17</v>
      </c>
      <c r="G238" s="7" t="s">
        <v>18</v>
      </c>
      <c r="H238" s="7"/>
      <c r="I238" s="7"/>
      <c r="J238" s="7"/>
      <c r="K238" s="7"/>
      <c r="L238" s="8" t="s">
        <v>538</v>
      </c>
      <c r="M238" s="9">
        <f t="shared" si="1"/>
        <v>-493.42</v>
      </c>
    </row>
    <row r="239" ht="15.75" customHeight="1">
      <c r="A239" s="5" t="s">
        <v>539</v>
      </c>
      <c r="B239" s="6">
        <v>40.0</v>
      </c>
      <c r="C239" s="7" t="s">
        <v>14</v>
      </c>
      <c r="D239" s="7" t="s">
        <v>540</v>
      </c>
      <c r="E239" s="7" t="s">
        <v>16</v>
      </c>
      <c r="F239" s="7" t="s">
        <v>17</v>
      </c>
      <c r="G239" s="7" t="s">
        <v>18</v>
      </c>
      <c r="H239" s="7"/>
      <c r="I239" s="7"/>
      <c r="J239" s="7"/>
      <c r="K239" s="7"/>
      <c r="L239" s="8" t="s">
        <v>541</v>
      </c>
      <c r="M239" s="9">
        <f t="shared" si="1"/>
        <v>-40</v>
      </c>
    </row>
    <row r="240" ht="15.75" customHeight="1">
      <c r="A240" s="5" t="s">
        <v>539</v>
      </c>
      <c r="B240" s="6">
        <v>110.0</v>
      </c>
      <c r="C240" s="7" t="s">
        <v>14</v>
      </c>
      <c r="D240" s="7" t="s">
        <v>540</v>
      </c>
      <c r="E240" s="7" t="s">
        <v>16</v>
      </c>
      <c r="F240" s="7" t="s">
        <v>17</v>
      </c>
      <c r="G240" s="7" t="s">
        <v>18</v>
      </c>
      <c r="H240" s="7"/>
      <c r="I240" s="7"/>
      <c r="J240" s="7"/>
      <c r="K240" s="7"/>
      <c r="L240" s="8" t="s">
        <v>542</v>
      </c>
      <c r="M240" s="9">
        <f t="shared" si="1"/>
        <v>-110</v>
      </c>
    </row>
    <row r="241" ht="15.75" customHeight="1">
      <c r="A241" s="5" t="s">
        <v>539</v>
      </c>
      <c r="B241" s="6">
        <v>110.0</v>
      </c>
      <c r="C241" s="7" t="s">
        <v>14</v>
      </c>
      <c r="D241" s="7" t="s">
        <v>540</v>
      </c>
      <c r="E241" s="7" t="s">
        <v>16</v>
      </c>
      <c r="F241" s="7" t="s">
        <v>17</v>
      </c>
      <c r="G241" s="7" t="s">
        <v>18</v>
      </c>
      <c r="H241" s="7"/>
      <c r="I241" s="7"/>
      <c r="J241" s="7"/>
      <c r="K241" s="7"/>
      <c r="L241" s="8" t="s">
        <v>543</v>
      </c>
      <c r="M241" s="9">
        <f t="shared" si="1"/>
        <v>-110</v>
      </c>
    </row>
    <row r="242" ht="15.75" customHeight="1">
      <c r="A242" s="5" t="s">
        <v>539</v>
      </c>
      <c r="B242" s="6">
        <v>64.0</v>
      </c>
      <c r="C242" s="7" t="s">
        <v>14</v>
      </c>
      <c r="D242" s="7" t="s">
        <v>94</v>
      </c>
      <c r="E242" s="7" t="s">
        <v>16</v>
      </c>
      <c r="F242" s="7" t="s">
        <v>17</v>
      </c>
      <c r="G242" s="7" t="s">
        <v>18</v>
      </c>
      <c r="H242" s="7"/>
      <c r="I242" s="7"/>
      <c r="J242" s="7"/>
      <c r="K242" s="7"/>
      <c r="L242" s="8" t="s">
        <v>544</v>
      </c>
      <c r="M242" s="9">
        <f t="shared" si="1"/>
        <v>-64</v>
      </c>
    </row>
    <row r="243" ht="15.75" customHeight="1">
      <c r="A243" s="5" t="s">
        <v>545</v>
      </c>
      <c r="B243" s="6">
        <v>177.0</v>
      </c>
      <c r="C243" s="7" t="s">
        <v>14</v>
      </c>
      <c r="D243" s="7" t="s">
        <v>212</v>
      </c>
      <c r="E243" s="7" t="s">
        <v>16</v>
      </c>
      <c r="F243" s="7" t="s">
        <v>17</v>
      </c>
      <c r="G243" s="7" t="s">
        <v>18</v>
      </c>
      <c r="H243" s="7"/>
      <c r="I243" s="7"/>
      <c r="J243" s="7"/>
      <c r="K243" s="7"/>
      <c r="L243" s="8" t="s">
        <v>546</v>
      </c>
      <c r="M243" s="9">
        <f t="shared" si="1"/>
        <v>-177</v>
      </c>
    </row>
    <row r="244" ht="15.75" customHeight="1">
      <c r="A244" s="5" t="s">
        <v>545</v>
      </c>
      <c r="B244" s="6">
        <v>177.0</v>
      </c>
      <c r="C244" s="7" t="s">
        <v>14</v>
      </c>
      <c r="D244" s="7" t="s">
        <v>212</v>
      </c>
      <c r="E244" s="7" t="s">
        <v>16</v>
      </c>
      <c r="F244" s="7" t="s">
        <v>17</v>
      </c>
      <c r="G244" s="7" t="s">
        <v>18</v>
      </c>
      <c r="H244" s="7"/>
      <c r="I244" s="7"/>
      <c r="J244" s="7"/>
      <c r="K244" s="7"/>
      <c r="L244" s="8" t="s">
        <v>547</v>
      </c>
      <c r="M244" s="9">
        <f t="shared" si="1"/>
        <v>-177</v>
      </c>
    </row>
    <row r="245" ht="15.75" customHeight="1">
      <c r="A245" s="5" t="s">
        <v>545</v>
      </c>
      <c r="B245" s="6">
        <v>177.0</v>
      </c>
      <c r="C245" s="7" t="s">
        <v>14</v>
      </c>
      <c r="D245" s="7" t="s">
        <v>212</v>
      </c>
      <c r="E245" s="7" t="s">
        <v>16</v>
      </c>
      <c r="F245" s="7" t="s">
        <v>17</v>
      </c>
      <c r="G245" s="7" t="s">
        <v>18</v>
      </c>
      <c r="H245" s="7"/>
      <c r="I245" s="7"/>
      <c r="J245" s="7"/>
      <c r="K245" s="7"/>
      <c r="L245" s="8" t="s">
        <v>548</v>
      </c>
      <c r="M245" s="9">
        <f t="shared" si="1"/>
        <v>-177</v>
      </c>
    </row>
    <row r="246" ht="15.75" customHeight="1">
      <c r="A246" s="5" t="s">
        <v>545</v>
      </c>
      <c r="B246" s="6">
        <v>508.0</v>
      </c>
      <c r="C246" s="7" t="s">
        <v>14</v>
      </c>
      <c r="D246" s="7" t="s">
        <v>212</v>
      </c>
      <c r="E246" s="7" t="s">
        <v>16</v>
      </c>
      <c r="F246" s="7" t="s">
        <v>17</v>
      </c>
      <c r="G246" s="7" t="s">
        <v>18</v>
      </c>
      <c r="H246" s="7"/>
      <c r="I246" s="7"/>
      <c r="J246" s="7"/>
      <c r="K246" s="7"/>
      <c r="L246" s="8" t="s">
        <v>549</v>
      </c>
      <c r="M246" s="9">
        <f t="shared" si="1"/>
        <v>-508</v>
      </c>
    </row>
    <row r="247" ht="15.75" customHeight="1">
      <c r="A247" s="5" t="s">
        <v>550</v>
      </c>
      <c r="B247" s="6">
        <v>82.25</v>
      </c>
      <c r="C247" s="7" t="s">
        <v>14</v>
      </c>
      <c r="D247" s="7" t="s">
        <v>551</v>
      </c>
      <c r="E247" s="7" t="s">
        <v>16</v>
      </c>
      <c r="F247" s="7" t="s">
        <v>17</v>
      </c>
      <c r="G247" s="7" t="s">
        <v>18</v>
      </c>
      <c r="H247" s="7"/>
      <c r="I247" s="7"/>
      <c r="J247" s="7"/>
      <c r="K247" s="7"/>
      <c r="L247" s="8" t="s">
        <v>552</v>
      </c>
      <c r="M247" s="9">
        <f t="shared" si="1"/>
        <v>-82.25</v>
      </c>
    </row>
    <row r="248" ht="15.75" customHeight="1">
      <c r="A248" s="5" t="s">
        <v>553</v>
      </c>
      <c r="B248" s="6">
        <v>14.0</v>
      </c>
      <c r="C248" s="7" t="s">
        <v>14</v>
      </c>
      <c r="D248" s="7" t="s">
        <v>554</v>
      </c>
      <c r="E248" s="7" t="s">
        <v>16</v>
      </c>
      <c r="F248" s="7" t="s">
        <v>17</v>
      </c>
      <c r="G248" s="7" t="s">
        <v>18</v>
      </c>
      <c r="H248" s="7"/>
      <c r="I248" s="7"/>
      <c r="J248" s="7"/>
      <c r="K248" s="7"/>
      <c r="L248" s="8" t="s">
        <v>555</v>
      </c>
      <c r="M248" s="9">
        <f t="shared" si="1"/>
        <v>-14</v>
      </c>
    </row>
    <row r="249" ht="15.75" customHeight="1">
      <c r="A249" s="5" t="s">
        <v>556</v>
      </c>
      <c r="B249" s="6">
        <v>4000.0</v>
      </c>
      <c r="C249" s="7" t="s">
        <v>14</v>
      </c>
      <c r="D249" s="7" t="s">
        <v>348</v>
      </c>
      <c r="E249" s="7" t="s">
        <v>42</v>
      </c>
      <c r="F249" s="7" t="s">
        <v>17</v>
      </c>
      <c r="G249" s="7" t="s">
        <v>335</v>
      </c>
      <c r="H249" s="7"/>
      <c r="I249" s="7"/>
      <c r="J249" s="7"/>
      <c r="K249" s="7"/>
      <c r="L249" s="8" t="s">
        <v>557</v>
      </c>
      <c r="M249" s="9">
        <f t="shared" si="1"/>
        <v>-4000</v>
      </c>
    </row>
    <row r="250" ht="15.75" customHeight="1">
      <c r="A250" s="5" t="s">
        <v>558</v>
      </c>
      <c r="B250" s="6">
        <v>1.36</v>
      </c>
      <c r="C250" s="7" t="s">
        <v>107</v>
      </c>
      <c r="D250" s="7" t="s">
        <v>295</v>
      </c>
      <c r="E250" s="7" t="s">
        <v>16</v>
      </c>
      <c r="F250" s="7" t="s">
        <v>17</v>
      </c>
      <c r="G250" s="7" t="s">
        <v>18</v>
      </c>
      <c r="H250" s="7"/>
      <c r="I250" s="7"/>
      <c r="J250" s="7"/>
      <c r="K250" s="7"/>
      <c r="L250" s="8" t="s">
        <v>559</v>
      </c>
      <c r="M250" s="9">
        <f t="shared" si="1"/>
        <v>-1.36</v>
      </c>
    </row>
    <row r="251" ht="15.75" customHeight="1">
      <c r="A251" s="5" t="s">
        <v>558</v>
      </c>
      <c r="B251" s="6">
        <v>46.2</v>
      </c>
      <c r="C251" s="7" t="s">
        <v>107</v>
      </c>
      <c r="D251" s="7" t="s">
        <v>351</v>
      </c>
      <c r="E251" s="7" t="s">
        <v>16</v>
      </c>
      <c r="F251" s="7" t="s">
        <v>17</v>
      </c>
      <c r="G251" s="7" t="s">
        <v>18</v>
      </c>
      <c r="H251" s="7"/>
      <c r="I251" s="7"/>
      <c r="J251" s="7"/>
      <c r="K251" s="7"/>
      <c r="L251" s="8" t="s">
        <v>560</v>
      </c>
      <c r="M251" s="9">
        <f t="shared" si="1"/>
        <v>-46.2</v>
      </c>
    </row>
    <row r="252" ht="15.75" customHeight="1">
      <c r="A252" s="5" t="s">
        <v>558</v>
      </c>
      <c r="B252" s="6">
        <v>399.0</v>
      </c>
      <c r="C252" s="7" t="s">
        <v>14</v>
      </c>
      <c r="D252" s="7" t="s">
        <v>561</v>
      </c>
      <c r="E252" s="7" t="s">
        <v>16</v>
      </c>
      <c r="F252" s="7" t="s">
        <v>17</v>
      </c>
      <c r="G252" s="7" t="s">
        <v>18</v>
      </c>
      <c r="H252" s="7"/>
      <c r="I252" s="7"/>
      <c r="J252" s="7"/>
      <c r="K252" s="7"/>
      <c r="L252" s="8" t="s">
        <v>562</v>
      </c>
      <c r="M252" s="9">
        <f t="shared" si="1"/>
        <v>-399</v>
      </c>
    </row>
    <row r="253" ht="15.75" customHeight="1">
      <c r="A253" s="5" t="s">
        <v>558</v>
      </c>
      <c r="B253" s="6">
        <v>138.0</v>
      </c>
      <c r="C253" s="7" t="s">
        <v>14</v>
      </c>
      <c r="D253" s="7" t="s">
        <v>563</v>
      </c>
      <c r="E253" s="7" t="s">
        <v>16</v>
      </c>
      <c r="F253" s="7" t="s">
        <v>17</v>
      </c>
      <c r="G253" s="7" t="s">
        <v>18</v>
      </c>
      <c r="H253" s="7"/>
      <c r="I253" s="7"/>
      <c r="J253" s="7"/>
      <c r="K253" s="7"/>
      <c r="L253" s="8" t="s">
        <v>564</v>
      </c>
      <c r="M253" s="9">
        <f t="shared" si="1"/>
        <v>-138</v>
      </c>
    </row>
    <row r="254" ht="15.75" customHeight="1">
      <c r="A254" s="5" t="s">
        <v>565</v>
      </c>
      <c r="B254" s="6">
        <v>125.0</v>
      </c>
      <c r="C254" s="7" t="s">
        <v>14</v>
      </c>
      <c r="D254" s="7" t="s">
        <v>81</v>
      </c>
      <c r="E254" s="7" t="s">
        <v>16</v>
      </c>
      <c r="F254" s="7" t="s">
        <v>17</v>
      </c>
      <c r="G254" s="7" t="s">
        <v>18</v>
      </c>
      <c r="H254" s="7"/>
      <c r="I254" s="7"/>
      <c r="J254" s="7"/>
      <c r="K254" s="7"/>
      <c r="L254" s="8" t="s">
        <v>566</v>
      </c>
      <c r="M254" s="9">
        <f t="shared" si="1"/>
        <v>-125</v>
      </c>
    </row>
    <row r="255" ht="15.75" customHeight="1">
      <c r="A255" s="5" t="s">
        <v>567</v>
      </c>
      <c r="B255" s="6">
        <v>59.81</v>
      </c>
      <c r="C255" s="7" t="s">
        <v>14</v>
      </c>
      <c r="D255" s="7" t="s">
        <v>568</v>
      </c>
      <c r="E255" s="7" t="s">
        <v>16</v>
      </c>
      <c r="F255" s="7" t="s">
        <v>17</v>
      </c>
      <c r="G255" s="7" t="s">
        <v>18</v>
      </c>
      <c r="H255" s="7"/>
      <c r="I255" s="7"/>
      <c r="J255" s="7"/>
      <c r="K255" s="7"/>
      <c r="L255" s="8" t="s">
        <v>569</v>
      </c>
      <c r="M255" s="9">
        <f t="shared" si="1"/>
        <v>-59.81</v>
      </c>
    </row>
    <row r="256" ht="15.75" customHeight="1">
      <c r="A256" s="5" t="s">
        <v>570</v>
      </c>
      <c r="B256" s="6">
        <v>105.0</v>
      </c>
      <c r="C256" s="7" t="s">
        <v>14</v>
      </c>
      <c r="D256" s="7" t="s">
        <v>571</v>
      </c>
      <c r="E256" s="7" t="s">
        <v>16</v>
      </c>
      <c r="F256" s="7" t="s">
        <v>17</v>
      </c>
      <c r="G256" s="7" t="s">
        <v>18</v>
      </c>
      <c r="H256" s="7"/>
      <c r="I256" s="7"/>
      <c r="J256" s="7"/>
      <c r="K256" s="7"/>
      <c r="L256" s="8" t="s">
        <v>572</v>
      </c>
      <c r="M256" s="9">
        <f t="shared" si="1"/>
        <v>-105</v>
      </c>
    </row>
    <row r="257" ht="15.75" customHeight="1">
      <c r="A257" s="5" t="s">
        <v>573</v>
      </c>
      <c r="B257" s="6">
        <v>1.0</v>
      </c>
      <c r="C257" s="7" t="s">
        <v>14</v>
      </c>
      <c r="D257" s="7" t="s">
        <v>574</v>
      </c>
      <c r="E257" s="7" t="s">
        <v>16</v>
      </c>
      <c r="F257" s="7" t="s">
        <v>17</v>
      </c>
      <c r="G257" s="7" t="s">
        <v>18</v>
      </c>
      <c r="H257" s="7"/>
      <c r="I257" s="7"/>
      <c r="J257" s="7"/>
      <c r="K257" s="7"/>
      <c r="L257" s="8" t="s">
        <v>575</v>
      </c>
      <c r="M257" s="9">
        <f t="shared" si="1"/>
        <v>-1</v>
      </c>
    </row>
    <row r="258" ht="15.75" customHeight="1">
      <c r="A258" s="5" t="s">
        <v>573</v>
      </c>
      <c r="B258" s="6">
        <v>3653.0</v>
      </c>
      <c r="C258" s="7" t="s">
        <v>14</v>
      </c>
      <c r="D258" s="7" t="s">
        <v>392</v>
      </c>
      <c r="E258" s="7" t="s">
        <v>24</v>
      </c>
      <c r="F258" s="7" t="s">
        <v>17</v>
      </c>
      <c r="G258" s="7" t="s">
        <v>18</v>
      </c>
      <c r="H258" s="7"/>
      <c r="I258" s="7"/>
      <c r="J258" s="7"/>
      <c r="K258" s="7"/>
      <c r="L258" s="8" t="s">
        <v>576</v>
      </c>
      <c r="M258" s="9">
        <f t="shared" si="1"/>
        <v>-3653</v>
      </c>
    </row>
    <row r="259" ht="15.75" customHeight="1">
      <c r="A259" s="5" t="s">
        <v>573</v>
      </c>
      <c r="B259" s="6">
        <v>44.0</v>
      </c>
      <c r="C259" s="7" t="s">
        <v>14</v>
      </c>
      <c r="D259" s="7" t="s">
        <v>427</v>
      </c>
      <c r="E259" s="7" t="s">
        <v>16</v>
      </c>
      <c r="F259" s="7" t="s">
        <v>17</v>
      </c>
      <c r="G259" s="7" t="s">
        <v>18</v>
      </c>
      <c r="H259" s="7"/>
      <c r="I259" s="7"/>
      <c r="J259" s="7"/>
      <c r="K259" s="7"/>
      <c r="L259" s="8" t="s">
        <v>577</v>
      </c>
      <c r="M259" s="9">
        <f t="shared" si="1"/>
        <v>-44</v>
      </c>
    </row>
    <row r="260" ht="15.75" customHeight="1">
      <c r="A260" s="5" t="s">
        <v>578</v>
      </c>
      <c r="B260" s="6">
        <v>72.45</v>
      </c>
      <c r="C260" s="7" t="s">
        <v>14</v>
      </c>
      <c r="D260" s="7" t="s">
        <v>579</v>
      </c>
      <c r="E260" s="7" t="s">
        <v>24</v>
      </c>
      <c r="F260" s="7" t="s">
        <v>17</v>
      </c>
      <c r="G260" s="7" t="s">
        <v>18</v>
      </c>
      <c r="H260" s="7"/>
      <c r="I260" s="7"/>
      <c r="J260" s="7"/>
      <c r="K260" s="7"/>
      <c r="L260" s="8" t="s">
        <v>580</v>
      </c>
      <c r="M260" s="9">
        <f t="shared" si="1"/>
        <v>-72.45</v>
      </c>
    </row>
    <row r="261" ht="15.75" customHeight="1">
      <c r="A261" s="5" t="s">
        <v>578</v>
      </c>
      <c r="B261" s="6">
        <v>242.0</v>
      </c>
      <c r="C261" s="7" t="s">
        <v>14</v>
      </c>
      <c r="D261" s="7" t="s">
        <v>581</v>
      </c>
      <c r="E261" s="7" t="s">
        <v>24</v>
      </c>
      <c r="F261" s="7" t="s">
        <v>17</v>
      </c>
      <c r="G261" s="7" t="s">
        <v>18</v>
      </c>
      <c r="H261" s="7"/>
      <c r="I261" s="7"/>
      <c r="J261" s="7"/>
      <c r="K261" s="7"/>
      <c r="L261" s="8" t="s">
        <v>582</v>
      </c>
      <c r="M261" s="9">
        <f t="shared" si="1"/>
        <v>-242</v>
      </c>
    </row>
    <row r="262" ht="15.75" customHeight="1">
      <c r="A262" s="5" t="s">
        <v>583</v>
      </c>
      <c r="B262" s="6">
        <v>19.0</v>
      </c>
      <c r="C262" s="7" t="s">
        <v>14</v>
      </c>
      <c r="D262" s="7" t="s">
        <v>27</v>
      </c>
      <c r="E262" s="7" t="s">
        <v>24</v>
      </c>
      <c r="F262" s="7" t="s">
        <v>17</v>
      </c>
      <c r="G262" s="7" t="s">
        <v>18</v>
      </c>
      <c r="H262" s="7"/>
      <c r="I262" s="7"/>
      <c r="J262" s="7"/>
      <c r="K262" s="7"/>
      <c r="L262" s="8" t="s">
        <v>584</v>
      </c>
      <c r="M262" s="9">
        <f t="shared" si="1"/>
        <v>-19</v>
      </c>
    </row>
    <row r="263" ht="15.75" customHeight="1">
      <c r="A263" s="5" t="s">
        <v>585</v>
      </c>
      <c r="B263" s="6">
        <v>90.3</v>
      </c>
      <c r="C263" s="7" t="s">
        <v>14</v>
      </c>
      <c r="D263" s="7" t="s">
        <v>94</v>
      </c>
      <c r="E263" s="7" t="s">
        <v>24</v>
      </c>
      <c r="F263" s="7" t="s">
        <v>17</v>
      </c>
      <c r="G263" s="7" t="s">
        <v>18</v>
      </c>
      <c r="H263" s="7"/>
      <c r="I263" s="7"/>
      <c r="J263" s="7"/>
      <c r="K263" s="7"/>
      <c r="L263" s="8" t="s">
        <v>586</v>
      </c>
      <c r="M263" s="9">
        <f t="shared" si="1"/>
        <v>-90.3</v>
      </c>
    </row>
    <row r="264" ht="15.75" customHeight="1">
      <c r="A264" s="5" t="s">
        <v>585</v>
      </c>
      <c r="B264" s="6">
        <v>3.0</v>
      </c>
      <c r="C264" s="7" t="s">
        <v>14</v>
      </c>
      <c r="D264" s="7" t="s">
        <v>587</v>
      </c>
      <c r="E264" s="7" t="s">
        <v>24</v>
      </c>
      <c r="F264" s="7" t="s">
        <v>17</v>
      </c>
      <c r="G264" s="7" t="s">
        <v>18</v>
      </c>
      <c r="H264" s="7"/>
      <c r="I264" s="7"/>
      <c r="J264" s="7"/>
      <c r="K264" s="7"/>
      <c r="L264" s="8" t="s">
        <v>588</v>
      </c>
      <c r="M264" s="9">
        <f t="shared" si="1"/>
        <v>-3</v>
      </c>
    </row>
    <row r="265" ht="15.75" customHeight="1">
      <c r="A265" s="5" t="s">
        <v>589</v>
      </c>
      <c r="B265" s="6">
        <v>3000.0</v>
      </c>
      <c r="C265" s="7" t="s">
        <v>14</v>
      </c>
      <c r="D265" s="7" t="s">
        <v>590</v>
      </c>
      <c r="E265" s="7" t="s">
        <v>42</v>
      </c>
      <c r="F265" s="7" t="s">
        <v>17</v>
      </c>
      <c r="G265" s="7" t="s">
        <v>335</v>
      </c>
      <c r="H265" s="7"/>
      <c r="I265" s="7"/>
      <c r="J265" s="7"/>
      <c r="K265" s="7"/>
      <c r="L265" s="8" t="s">
        <v>591</v>
      </c>
      <c r="M265" s="9">
        <f t="shared" si="1"/>
        <v>-3000</v>
      </c>
    </row>
    <row r="266" ht="15.75" customHeight="1">
      <c r="A266" s="5" t="s">
        <v>592</v>
      </c>
      <c r="B266" s="6">
        <v>18000.0</v>
      </c>
      <c r="C266" s="7" t="s">
        <v>14</v>
      </c>
      <c r="D266" s="7" t="s">
        <v>354</v>
      </c>
      <c r="E266" s="7" t="s">
        <v>354</v>
      </c>
      <c r="F266" s="7" t="s">
        <v>43</v>
      </c>
      <c r="G266" s="7" t="s">
        <v>44</v>
      </c>
      <c r="H266" s="7"/>
      <c r="I266" s="7"/>
      <c r="J266" s="7"/>
      <c r="K266" s="7"/>
      <c r="L266" s="8" t="s">
        <v>593</v>
      </c>
      <c r="M266" s="9">
        <f t="shared" si="1"/>
        <v>18000</v>
      </c>
    </row>
    <row r="267" ht="15.75" customHeight="1">
      <c r="A267" s="11">
        <v>46051.54790509259</v>
      </c>
      <c r="B267" s="12">
        <v>1527.0</v>
      </c>
      <c r="C267" s="13" t="s">
        <v>14</v>
      </c>
      <c r="D267" s="13" t="s">
        <v>590</v>
      </c>
      <c r="E267" s="13" t="s">
        <v>42</v>
      </c>
      <c r="F267" s="13" t="s">
        <v>17</v>
      </c>
      <c r="G267" s="13" t="s">
        <v>335</v>
      </c>
      <c r="H267" s="13"/>
      <c r="I267" s="13"/>
      <c r="J267" s="13"/>
      <c r="K267" s="13"/>
      <c r="L267" s="14" t="s">
        <v>594</v>
      </c>
      <c r="M267" s="9">
        <f t="shared" si="1"/>
        <v>-1527</v>
      </c>
    </row>
    <row r="268" ht="15.75" customHeight="1">
      <c r="A268" s="11">
        <v>46051.39996527778</v>
      </c>
      <c r="B268" s="12">
        <v>47.0</v>
      </c>
      <c r="C268" s="13" t="s">
        <v>14</v>
      </c>
      <c r="D268" s="13">
        <v>3.3413435E7</v>
      </c>
      <c r="E268" s="13" t="s">
        <v>42</v>
      </c>
      <c r="F268" s="13" t="s">
        <v>43</v>
      </c>
      <c r="G268" s="13" t="s">
        <v>44</v>
      </c>
      <c r="H268" s="13"/>
      <c r="I268" s="13"/>
      <c r="J268" s="13"/>
      <c r="K268" s="13"/>
      <c r="L268" s="14" t="s">
        <v>595</v>
      </c>
      <c r="M268" s="9">
        <f t="shared" si="1"/>
        <v>47</v>
      </c>
    </row>
    <row r="269" ht="15.75" customHeight="1">
      <c r="A269" s="11">
        <v>46051.367685185185</v>
      </c>
      <c r="B269" s="12">
        <v>250.0</v>
      </c>
      <c r="C269" s="13" t="s">
        <v>14</v>
      </c>
      <c r="D269" s="13" t="s">
        <v>348</v>
      </c>
      <c r="E269" s="13" t="s">
        <v>42</v>
      </c>
      <c r="F269" s="13" t="s">
        <v>17</v>
      </c>
      <c r="G269" s="13" t="s">
        <v>335</v>
      </c>
      <c r="H269" s="13"/>
      <c r="I269" s="13"/>
      <c r="J269" s="13"/>
      <c r="K269" s="13"/>
      <c r="L269" s="14" t="s">
        <v>596</v>
      </c>
      <c r="M269" s="9">
        <f t="shared" si="1"/>
        <v>-250</v>
      </c>
    </row>
    <row r="270" ht="15.75" customHeight="1">
      <c r="A270" s="11">
        <v>46051.35496527778</v>
      </c>
      <c r="B270" s="12">
        <v>150.0</v>
      </c>
      <c r="C270" s="13" t="s">
        <v>14</v>
      </c>
      <c r="D270" s="13" t="s">
        <v>68</v>
      </c>
      <c r="E270" s="13" t="s">
        <v>16</v>
      </c>
      <c r="F270" s="13" t="s">
        <v>17</v>
      </c>
      <c r="G270" s="13" t="s">
        <v>18</v>
      </c>
      <c r="H270" s="13"/>
      <c r="I270" s="13"/>
      <c r="J270" s="13"/>
      <c r="K270" s="13"/>
      <c r="L270" s="14" t="s">
        <v>597</v>
      </c>
      <c r="M270" s="9">
        <f t="shared" si="1"/>
        <v>-150</v>
      </c>
    </row>
    <row r="271" ht="15.75" customHeight="1">
      <c r="A271" s="11">
        <v>46051.31474537037</v>
      </c>
      <c r="B271" s="12">
        <v>130.0</v>
      </c>
      <c r="C271" s="13" t="s">
        <v>14</v>
      </c>
      <c r="D271" s="13" t="s">
        <v>212</v>
      </c>
      <c r="E271" s="13" t="s">
        <v>16</v>
      </c>
      <c r="F271" s="13" t="s">
        <v>17</v>
      </c>
      <c r="G271" s="13" t="s">
        <v>18</v>
      </c>
      <c r="H271" s="13"/>
      <c r="I271" s="13"/>
      <c r="J271" s="13"/>
      <c r="K271" s="13"/>
      <c r="L271" s="14" t="s">
        <v>598</v>
      </c>
      <c r="M271" s="9">
        <f t="shared" si="1"/>
        <v>-130</v>
      </c>
    </row>
    <row r="272" ht="15.75" customHeight="1">
      <c r="A272" s="11">
        <v>46050.374918981484</v>
      </c>
      <c r="B272" s="12">
        <v>1500.0</v>
      </c>
      <c r="C272" s="13" t="s">
        <v>14</v>
      </c>
      <c r="D272" s="13" t="s">
        <v>590</v>
      </c>
      <c r="E272" s="13" t="s">
        <v>42</v>
      </c>
      <c r="F272" s="13" t="s">
        <v>17</v>
      </c>
      <c r="G272" s="13" t="s">
        <v>335</v>
      </c>
      <c r="H272" s="13"/>
      <c r="I272" s="13"/>
      <c r="J272" s="13"/>
      <c r="K272" s="13"/>
      <c r="L272" s="14" t="s">
        <v>599</v>
      </c>
      <c r="M272" s="9">
        <f t="shared" si="1"/>
        <v>-1500</v>
      </c>
    </row>
    <row r="273" ht="15.75" customHeight="1">
      <c r="A273" s="11">
        <v>46050.36111111111</v>
      </c>
      <c r="B273" s="12">
        <v>400.0</v>
      </c>
      <c r="C273" s="13" t="s">
        <v>14</v>
      </c>
      <c r="D273" s="13">
        <v>5.0371822E7</v>
      </c>
      <c r="E273" s="13" t="s">
        <v>42</v>
      </c>
      <c r="F273" s="13" t="s">
        <v>43</v>
      </c>
      <c r="G273" s="13" t="s">
        <v>44</v>
      </c>
      <c r="H273" s="13"/>
      <c r="I273" s="13"/>
      <c r="J273" s="13"/>
      <c r="K273" s="13"/>
      <c r="L273" s="14" t="s">
        <v>600</v>
      </c>
      <c r="M273" s="9">
        <f t="shared" si="1"/>
        <v>400</v>
      </c>
    </row>
    <row r="274" ht="15.75" customHeight="1">
      <c r="A274" s="11">
        <v>46050.354166666664</v>
      </c>
      <c r="B274" s="12">
        <v>125.0</v>
      </c>
      <c r="C274" s="13" t="s">
        <v>14</v>
      </c>
      <c r="D274" s="13" t="s">
        <v>260</v>
      </c>
      <c r="E274" s="13" t="s">
        <v>42</v>
      </c>
      <c r="F274" s="13" t="s">
        <v>43</v>
      </c>
      <c r="G274" s="13" t="s">
        <v>44</v>
      </c>
      <c r="H274" s="13"/>
      <c r="I274" s="13"/>
      <c r="J274" s="13"/>
      <c r="K274" s="13"/>
      <c r="L274" s="14" t="s">
        <v>601</v>
      </c>
      <c r="M274" s="9">
        <f t="shared" si="1"/>
        <v>125</v>
      </c>
    </row>
    <row r="275" ht="15.75" customHeight="1">
      <c r="A275" s="11">
        <v>46050.34375</v>
      </c>
      <c r="B275" s="12">
        <v>350.0</v>
      </c>
      <c r="C275" s="13" t="s">
        <v>14</v>
      </c>
      <c r="D275" s="13">
        <v>3.3131126E7</v>
      </c>
      <c r="E275" s="13" t="s">
        <v>42</v>
      </c>
      <c r="F275" s="13" t="s">
        <v>43</v>
      </c>
      <c r="G275" s="13" t="s">
        <v>44</v>
      </c>
      <c r="H275" s="13"/>
      <c r="I275" s="13"/>
      <c r="J275" s="13"/>
      <c r="K275" s="13"/>
      <c r="L275" s="14" t="s">
        <v>602</v>
      </c>
      <c r="M275" s="9">
        <f t="shared" si="1"/>
        <v>350</v>
      </c>
    </row>
    <row r="276" ht="15.75" customHeight="1">
      <c r="A276" s="11">
        <v>46050.333333333336</v>
      </c>
      <c r="B276" s="12">
        <v>120.0</v>
      </c>
      <c r="C276" s="13" t="s">
        <v>14</v>
      </c>
      <c r="D276" s="13">
        <v>3.1645649E7</v>
      </c>
      <c r="E276" s="13" t="s">
        <v>42</v>
      </c>
      <c r="F276" s="13" t="s">
        <v>43</v>
      </c>
      <c r="G276" s="13" t="s">
        <v>44</v>
      </c>
      <c r="H276" s="13"/>
      <c r="I276" s="13"/>
      <c r="J276" s="13"/>
      <c r="K276" s="13"/>
      <c r="L276" s="14" t="s">
        <v>603</v>
      </c>
      <c r="M276" s="9">
        <f t="shared" si="1"/>
        <v>120</v>
      </c>
    </row>
    <row r="277" ht="15.75" customHeight="1">
      <c r="A277" s="11">
        <v>46050.32777777778</v>
      </c>
      <c r="B277" s="12">
        <v>325.0</v>
      </c>
      <c r="C277" s="13" t="s">
        <v>14</v>
      </c>
      <c r="D277" s="13" t="s">
        <v>230</v>
      </c>
      <c r="E277" s="13" t="s">
        <v>42</v>
      </c>
      <c r="F277" s="13" t="s">
        <v>43</v>
      </c>
      <c r="G277" s="13" t="s">
        <v>44</v>
      </c>
      <c r="H277" s="13"/>
      <c r="I277" s="13"/>
      <c r="J277" s="13"/>
      <c r="K277" s="13"/>
      <c r="L277" s="14" t="s">
        <v>604</v>
      </c>
      <c r="M277" s="9">
        <f t="shared" si="1"/>
        <v>325</v>
      </c>
    </row>
    <row r="278" ht="15.75" customHeight="1">
      <c r="A278" s="11">
        <v>46050.275</v>
      </c>
      <c r="B278" s="12">
        <v>27.0</v>
      </c>
      <c r="C278" s="13" t="s">
        <v>14</v>
      </c>
      <c r="D278" s="13" t="s">
        <v>86</v>
      </c>
      <c r="E278" s="13" t="s">
        <v>16</v>
      </c>
      <c r="F278" s="13" t="s">
        <v>17</v>
      </c>
      <c r="G278" s="13" t="s">
        <v>18</v>
      </c>
      <c r="H278" s="13"/>
      <c r="I278" s="13"/>
      <c r="J278" s="13"/>
      <c r="K278" s="13"/>
      <c r="L278" s="14" t="s">
        <v>605</v>
      </c>
      <c r="M278" s="9">
        <f t="shared" si="1"/>
        <v>-27</v>
      </c>
    </row>
    <row r="279" ht="15.75" customHeight="1">
      <c r="A279" s="11">
        <v>46050.229166666664</v>
      </c>
      <c r="B279" s="12">
        <v>125.0</v>
      </c>
      <c r="C279" s="13" t="s">
        <v>14</v>
      </c>
      <c r="D279" s="13">
        <v>3.3413435E7</v>
      </c>
      <c r="E279" s="13" t="s">
        <v>42</v>
      </c>
      <c r="F279" s="13" t="s">
        <v>43</v>
      </c>
      <c r="G279" s="13" t="s">
        <v>44</v>
      </c>
      <c r="H279" s="13"/>
      <c r="I279" s="13"/>
      <c r="J279" s="13"/>
      <c r="K279" s="13"/>
      <c r="L279" s="14" t="s">
        <v>606</v>
      </c>
      <c r="M279" s="9">
        <f t="shared" si="1"/>
        <v>125</v>
      </c>
    </row>
    <row r="280" ht="15.75" customHeight="1">
      <c r="A280" s="11">
        <v>46050.17444444444</v>
      </c>
      <c r="B280" s="12">
        <v>4000.0</v>
      </c>
      <c r="C280" s="13" t="s">
        <v>14</v>
      </c>
      <c r="D280" s="13" t="s">
        <v>590</v>
      </c>
      <c r="E280" s="13" t="s">
        <v>42</v>
      </c>
      <c r="F280" s="13" t="s">
        <v>17</v>
      </c>
      <c r="G280" s="13" t="s">
        <v>335</v>
      </c>
      <c r="H280" s="13"/>
      <c r="I280" s="13"/>
      <c r="J280" s="13"/>
      <c r="K280" s="13"/>
      <c r="L280" s="14" t="s">
        <v>607</v>
      </c>
      <c r="M280" s="9">
        <f t="shared" si="1"/>
        <v>-4000</v>
      </c>
    </row>
    <row r="281" ht="15.75" customHeight="1">
      <c r="A281" s="11">
        <v>46049.82847222222</v>
      </c>
      <c r="B281" s="12">
        <v>160.0</v>
      </c>
      <c r="C281" s="13" t="s">
        <v>14</v>
      </c>
      <c r="D281" s="13" t="s">
        <v>608</v>
      </c>
      <c r="E281" s="13" t="s">
        <v>24</v>
      </c>
      <c r="F281" s="13" t="s">
        <v>17</v>
      </c>
      <c r="G281" s="13" t="s">
        <v>18</v>
      </c>
      <c r="H281" s="13"/>
      <c r="I281" s="13"/>
      <c r="J281" s="13"/>
      <c r="K281" s="13"/>
      <c r="L281" s="14" t="s">
        <v>609</v>
      </c>
      <c r="M281" s="9">
        <f t="shared" si="1"/>
        <v>-160</v>
      </c>
    </row>
    <row r="282" ht="15.75" customHeight="1">
      <c r="A282" s="11">
        <v>46049.751388888886</v>
      </c>
      <c r="B282" s="12">
        <v>429.0</v>
      </c>
      <c r="C282" s="13" t="s">
        <v>14</v>
      </c>
      <c r="D282" s="13" t="s">
        <v>610</v>
      </c>
      <c r="E282" s="13" t="s">
        <v>24</v>
      </c>
      <c r="F282" s="13" t="s">
        <v>17</v>
      </c>
      <c r="G282" s="13" t="s">
        <v>18</v>
      </c>
      <c r="H282" s="13"/>
      <c r="I282" s="13"/>
      <c r="J282" s="13"/>
      <c r="K282" s="13"/>
      <c r="L282" s="14" t="s">
        <v>611</v>
      </c>
      <c r="M282" s="9">
        <f t="shared" si="1"/>
        <v>-429</v>
      </c>
    </row>
    <row r="283" ht="15.75" customHeight="1">
      <c r="A283" s="11">
        <v>46049.583333333336</v>
      </c>
      <c r="B283" s="12">
        <v>79.0</v>
      </c>
      <c r="C283" s="13" t="s">
        <v>350</v>
      </c>
      <c r="D283" s="15" t="s">
        <v>351</v>
      </c>
      <c r="E283" s="13" t="s">
        <v>24</v>
      </c>
      <c r="F283" s="13" t="s">
        <v>17</v>
      </c>
      <c r="G283" s="13" t="s">
        <v>18</v>
      </c>
      <c r="H283" s="13"/>
      <c r="I283" s="13"/>
      <c r="J283" s="13"/>
      <c r="K283" s="13"/>
      <c r="L283" s="14" t="s">
        <v>612</v>
      </c>
      <c r="M283" s="9">
        <f t="shared" si="1"/>
        <v>-79</v>
      </c>
    </row>
    <row r="284" ht="15.75" customHeight="1">
      <c r="A284" s="11">
        <v>46049.5625</v>
      </c>
      <c r="B284" s="12">
        <v>65.0</v>
      </c>
      <c r="C284" s="13" t="s">
        <v>14</v>
      </c>
      <c r="D284" s="13" t="s">
        <v>613</v>
      </c>
      <c r="E284" s="13" t="s">
        <v>24</v>
      </c>
      <c r="F284" s="13" t="s">
        <v>17</v>
      </c>
      <c r="G284" s="13" t="s">
        <v>18</v>
      </c>
      <c r="H284" s="13"/>
      <c r="I284" s="13"/>
      <c r="J284" s="13"/>
      <c r="K284" s="13"/>
      <c r="L284" s="14" t="s">
        <v>614</v>
      </c>
      <c r="M284" s="9">
        <f t="shared" si="1"/>
        <v>-65</v>
      </c>
    </row>
    <row r="285" ht="15.75" customHeight="1">
      <c r="A285" s="11">
        <v>46049.541666666664</v>
      </c>
      <c r="B285" s="12">
        <v>18000.0</v>
      </c>
      <c r="C285" s="13" t="s">
        <v>14</v>
      </c>
      <c r="D285" s="13" t="s">
        <v>354</v>
      </c>
      <c r="E285" s="13" t="s">
        <v>354</v>
      </c>
      <c r="F285" s="13" t="s">
        <v>43</v>
      </c>
      <c r="G285" s="13" t="s">
        <v>44</v>
      </c>
      <c r="H285" s="13"/>
      <c r="I285" s="13"/>
      <c r="J285" s="13"/>
      <c r="K285" s="13"/>
      <c r="L285" s="14" t="s">
        <v>615</v>
      </c>
      <c r="M285" s="9">
        <f t="shared" si="1"/>
        <v>18000</v>
      </c>
    </row>
    <row r="286" ht="15.75" customHeight="1">
      <c r="A286" s="11">
        <v>46049.5375</v>
      </c>
      <c r="B286" s="12">
        <v>5.0</v>
      </c>
      <c r="C286" s="13" t="s">
        <v>14</v>
      </c>
      <c r="D286" s="13" t="s">
        <v>613</v>
      </c>
      <c r="E286" s="13" t="s">
        <v>24</v>
      </c>
      <c r="F286" s="13" t="s">
        <v>17</v>
      </c>
      <c r="G286" s="13" t="s">
        <v>18</v>
      </c>
      <c r="H286" s="13"/>
      <c r="I286" s="13"/>
      <c r="J286" s="13"/>
      <c r="K286" s="13"/>
      <c r="L286" s="14" t="s">
        <v>616</v>
      </c>
      <c r="M286" s="9">
        <f t="shared" si="1"/>
        <v>-5</v>
      </c>
    </row>
    <row r="287" ht="15.75" customHeight="1">
      <c r="A287" s="11">
        <v>46048.995833333334</v>
      </c>
      <c r="B287" s="12">
        <v>8.96</v>
      </c>
      <c r="C287" s="13" t="s">
        <v>14</v>
      </c>
      <c r="D287" s="13" t="s">
        <v>62</v>
      </c>
      <c r="E287" s="13" t="s">
        <v>16</v>
      </c>
      <c r="F287" s="13" t="s">
        <v>17</v>
      </c>
      <c r="G287" s="13" t="s">
        <v>18</v>
      </c>
      <c r="H287" s="13"/>
      <c r="I287" s="13"/>
      <c r="J287" s="13"/>
      <c r="K287" s="13"/>
      <c r="L287" s="14" t="s">
        <v>617</v>
      </c>
      <c r="M287" s="9">
        <f t="shared" si="1"/>
        <v>-8.96</v>
      </c>
    </row>
    <row r="288" ht="15.75" customHeight="1">
      <c r="A288" s="11">
        <v>46048.739583333336</v>
      </c>
      <c r="B288" s="12">
        <v>18.95</v>
      </c>
      <c r="C288" s="13" t="s">
        <v>14</v>
      </c>
      <c r="D288" s="13" t="s">
        <v>21</v>
      </c>
      <c r="E288" s="13" t="s">
        <v>16</v>
      </c>
      <c r="F288" s="13" t="s">
        <v>17</v>
      </c>
      <c r="G288" s="13" t="s">
        <v>18</v>
      </c>
      <c r="H288" s="13"/>
      <c r="I288" s="13"/>
      <c r="J288" s="13"/>
      <c r="K288" s="13"/>
      <c r="L288" s="14" t="s">
        <v>618</v>
      </c>
      <c r="M288" s="9">
        <f t="shared" si="1"/>
        <v>-18.95</v>
      </c>
    </row>
    <row r="289" ht="15.75" customHeight="1">
      <c r="A289" s="16">
        <v>46051.67364583333</v>
      </c>
      <c r="B289" s="12">
        <v>7.95</v>
      </c>
      <c r="C289" s="13" t="s">
        <v>14</v>
      </c>
      <c r="D289" s="13" t="s">
        <v>21</v>
      </c>
      <c r="E289" s="13" t="s">
        <v>16</v>
      </c>
      <c r="F289" s="13" t="s">
        <v>17</v>
      </c>
      <c r="G289" s="13" t="s">
        <v>18</v>
      </c>
      <c r="H289" s="13"/>
      <c r="I289" s="13"/>
      <c r="J289" s="13"/>
      <c r="K289" s="13"/>
      <c r="L289" s="14" t="s">
        <v>619</v>
      </c>
      <c r="M289" s="9">
        <f t="shared" si="1"/>
        <v>-7.95</v>
      </c>
    </row>
    <row r="290" ht="15.75" customHeight="1">
      <c r="A290" s="16">
        <v>46051.884305555555</v>
      </c>
      <c r="B290" s="12">
        <v>31.94</v>
      </c>
      <c r="C290" s="13" t="s">
        <v>14</v>
      </c>
      <c r="D290" s="13" t="s">
        <v>62</v>
      </c>
      <c r="E290" s="13" t="s">
        <v>16</v>
      </c>
      <c r="F290" s="13" t="s">
        <v>17</v>
      </c>
      <c r="G290" s="13" t="s">
        <v>18</v>
      </c>
      <c r="H290" s="13"/>
      <c r="I290" s="13"/>
      <c r="J290" s="13"/>
      <c r="K290" s="13"/>
      <c r="L290" s="14" t="s">
        <v>620</v>
      </c>
      <c r="M290" s="9">
        <f t="shared" si="1"/>
        <v>-31.94</v>
      </c>
    </row>
    <row r="291" ht="15.75" customHeight="1">
      <c r="A291" s="16">
        <v>46051.89666666667</v>
      </c>
      <c r="B291" s="12">
        <v>5.94</v>
      </c>
      <c r="C291" s="13" t="s">
        <v>14</v>
      </c>
      <c r="D291" s="13" t="s">
        <v>21</v>
      </c>
      <c r="E291" s="13" t="s">
        <v>16</v>
      </c>
      <c r="F291" s="13" t="s">
        <v>17</v>
      </c>
      <c r="G291" s="13" t="s">
        <v>18</v>
      </c>
      <c r="H291" s="13"/>
      <c r="I291" s="13"/>
      <c r="J291" s="13"/>
      <c r="K291" s="13"/>
      <c r="L291" s="14" t="s">
        <v>621</v>
      </c>
      <c r="M291" s="9">
        <f t="shared" si="1"/>
        <v>-5.94</v>
      </c>
    </row>
    <row r="292" ht="15.75" customHeight="1">
      <c r="A292" s="16">
        <v>46051.92333333333</v>
      </c>
      <c r="B292" s="12">
        <v>480.0</v>
      </c>
      <c r="C292" s="13" t="s">
        <v>14</v>
      </c>
      <c r="D292" s="13" t="s">
        <v>622</v>
      </c>
      <c r="E292" s="13" t="s">
        <v>24</v>
      </c>
      <c r="F292" s="13" t="s">
        <v>17</v>
      </c>
      <c r="G292" s="13" t="s">
        <v>18</v>
      </c>
      <c r="H292" s="13"/>
      <c r="I292" s="13"/>
      <c r="J292" s="13"/>
      <c r="K292" s="13"/>
      <c r="L292" s="14" t="s">
        <v>623</v>
      </c>
      <c r="M292" s="9">
        <f t="shared" si="1"/>
        <v>-480</v>
      </c>
    </row>
    <row r="293" ht="15.75" customHeight="1">
      <c r="A293" s="16">
        <v>46051.941979166666</v>
      </c>
      <c r="B293" s="12">
        <v>135.0</v>
      </c>
      <c r="C293" s="13" t="s">
        <v>14</v>
      </c>
      <c r="D293" s="13" t="s">
        <v>624</v>
      </c>
      <c r="E293" s="13" t="s">
        <v>24</v>
      </c>
      <c r="F293" s="13" t="s">
        <v>17</v>
      </c>
      <c r="G293" s="13" t="s">
        <v>18</v>
      </c>
      <c r="H293" s="13"/>
      <c r="I293" s="13"/>
      <c r="J293" s="13"/>
      <c r="K293" s="13"/>
      <c r="L293" s="14" t="s">
        <v>625</v>
      </c>
      <c r="M293" s="9">
        <f t="shared" si="1"/>
        <v>-135</v>
      </c>
    </row>
    <row r="294" ht="15.75" customHeight="1">
      <c r="A294" s="16">
        <v>46051.961701388886</v>
      </c>
      <c r="B294" s="12">
        <v>255.0</v>
      </c>
      <c r="C294" s="13" t="s">
        <v>14</v>
      </c>
      <c r="D294" s="13" t="s">
        <v>622</v>
      </c>
      <c r="E294" s="13" t="s">
        <v>24</v>
      </c>
      <c r="F294" s="13" t="s">
        <v>17</v>
      </c>
      <c r="G294" s="13" t="s">
        <v>18</v>
      </c>
      <c r="H294" s="13"/>
      <c r="I294" s="13"/>
      <c r="J294" s="13"/>
      <c r="K294" s="13"/>
      <c r="L294" s="14" t="s">
        <v>626</v>
      </c>
      <c r="M294" s="9">
        <f t="shared" si="1"/>
        <v>-255</v>
      </c>
    </row>
    <row r="295" ht="15.75" customHeight="1">
      <c r="A295" s="16">
        <v>46051.97792824074</v>
      </c>
      <c r="B295" s="12">
        <v>12.99</v>
      </c>
      <c r="C295" s="13" t="s">
        <v>14</v>
      </c>
      <c r="D295" s="13" t="s">
        <v>62</v>
      </c>
      <c r="E295" s="13" t="s">
        <v>16</v>
      </c>
      <c r="F295" s="13" t="s">
        <v>17</v>
      </c>
      <c r="G295" s="13" t="s">
        <v>18</v>
      </c>
      <c r="H295" s="13"/>
      <c r="I295" s="13"/>
      <c r="J295" s="13"/>
      <c r="K295" s="13"/>
      <c r="L295" s="14" t="s">
        <v>627</v>
      </c>
      <c r="M295" s="9">
        <f t="shared" si="1"/>
        <v>-12.99</v>
      </c>
    </row>
    <row r="296" ht="15.75" customHeight="1">
      <c r="A296" s="16">
        <v>46051.98148148148</v>
      </c>
      <c r="B296" s="12">
        <v>39.93</v>
      </c>
      <c r="C296" s="13" t="s">
        <v>14</v>
      </c>
      <c r="D296" s="13" t="s">
        <v>21</v>
      </c>
      <c r="E296" s="13" t="s">
        <v>16</v>
      </c>
      <c r="F296" s="13" t="s">
        <v>17</v>
      </c>
      <c r="G296" s="13" t="s">
        <v>18</v>
      </c>
      <c r="H296" s="13"/>
      <c r="I296" s="13"/>
      <c r="J296" s="13"/>
      <c r="K296" s="13"/>
      <c r="L296" s="14" t="s">
        <v>628</v>
      </c>
      <c r="M296" s="9">
        <f t="shared" si="1"/>
        <v>-39.93</v>
      </c>
    </row>
    <row r="297" ht="15.75" customHeight="1">
      <c r="A297" s="16">
        <v>46052.346655092595</v>
      </c>
      <c r="B297" s="12">
        <v>24.96</v>
      </c>
      <c r="C297" s="13" t="s">
        <v>14</v>
      </c>
      <c r="D297" s="13" t="s">
        <v>21</v>
      </c>
      <c r="E297" s="13" t="s">
        <v>16</v>
      </c>
      <c r="F297" s="13" t="s">
        <v>17</v>
      </c>
      <c r="G297" s="13" t="s">
        <v>18</v>
      </c>
      <c r="H297" s="13"/>
      <c r="I297" s="13"/>
      <c r="J297" s="13"/>
      <c r="K297" s="13"/>
      <c r="L297" s="14" t="s">
        <v>629</v>
      </c>
      <c r="M297" s="9">
        <f t="shared" si="1"/>
        <v>-24.96</v>
      </c>
    </row>
    <row r="298" ht="15.75" customHeight="1">
      <c r="A298" s="16">
        <v>46052.3471412037</v>
      </c>
      <c r="B298" s="12">
        <v>1.15</v>
      </c>
      <c r="C298" s="13" t="s">
        <v>14</v>
      </c>
      <c r="D298" s="13" t="s">
        <v>62</v>
      </c>
      <c r="E298" s="13" t="s">
        <v>16</v>
      </c>
      <c r="F298" s="13" t="s">
        <v>17</v>
      </c>
      <c r="G298" s="13" t="s">
        <v>18</v>
      </c>
      <c r="H298" s="13"/>
      <c r="I298" s="13"/>
      <c r="J298" s="13"/>
      <c r="K298" s="13"/>
      <c r="L298" s="14" t="s">
        <v>630</v>
      </c>
      <c r="M298" s="9">
        <f t="shared" si="1"/>
        <v>-1.15</v>
      </c>
    </row>
    <row r="299" ht="15.75" customHeight="1">
      <c r="A299" s="16">
        <v>46052.3484837963</v>
      </c>
      <c r="B299" s="12">
        <v>309.0</v>
      </c>
      <c r="C299" s="13" t="s">
        <v>14</v>
      </c>
      <c r="D299" s="13" t="s">
        <v>303</v>
      </c>
      <c r="E299" s="13" t="s">
        <v>24</v>
      </c>
      <c r="F299" s="13" t="s">
        <v>17</v>
      </c>
      <c r="G299" s="13" t="s">
        <v>18</v>
      </c>
      <c r="H299" s="13"/>
      <c r="I299" s="13"/>
      <c r="J299" s="13"/>
      <c r="K299" s="13"/>
      <c r="L299" s="14" t="s">
        <v>631</v>
      </c>
      <c r="M299" s="9">
        <f t="shared" si="1"/>
        <v>-309</v>
      </c>
    </row>
    <row r="300" ht="15.75" customHeight="1">
      <c r="A300" s="16">
        <v>46052.35270833333</v>
      </c>
      <c r="B300" s="12">
        <v>30.93</v>
      </c>
      <c r="C300" s="13" t="s">
        <v>14</v>
      </c>
      <c r="D300" s="13" t="s">
        <v>62</v>
      </c>
      <c r="E300" s="13" t="s">
        <v>16</v>
      </c>
      <c r="F300" s="13" t="s">
        <v>17</v>
      </c>
      <c r="G300" s="13" t="s">
        <v>18</v>
      </c>
      <c r="H300" s="13"/>
      <c r="I300" s="13"/>
      <c r="J300" s="13"/>
      <c r="K300" s="13"/>
      <c r="L300" s="14" t="s">
        <v>632</v>
      </c>
      <c r="M300" s="9">
        <f t="shared" si="1"/>
        <v>-30.93</v>
      </c>
    </row>
    <row r="301" ht="15.75" customHeight="1">
      <c r="A301" s="16">
        <v>46052.52972222222</v>
      </c>
      <c r="B301" s="12">
        <v>104.25</v>
      </c>
      <c r="C301" s="13" t="s">
        <v>350</v>
      </c>
      <c r="D301" s="15" t="s">
        <v>351</v>
      </c>
      <c r="E301" s="13" t="s">
        <v>24</v>
      </c>
      <c r="F301" s="13" t="s">
        <v>17</v>
      </c>
      <c r="G301" s="13" t="s">
        <v>18</v>
      </c>
      <c r="H301" s="13"/>
      <c r="I301" s="13"/>
      <c r="J301" s="13"/>
      <c r="K301" s="13"/>
      <c r="L301" s="14" t="s">
        <v>633</v>
      </c>
    </row>
    <row r="302" ht="15.75" customHeight="1">
      <c r="A302" s="16">
        <v>46052.56563657407</v>
      </c>
      <c r="B302" s="12">
        <v>113.5</v>
      </c>
      <c r="C302" s="13" t="s">
        <v>14</v>
      </c>
      <c r="D302" s="13" t="s">
        <v>65</v>
      </c>
      <c r="E302" s="13" t="s">
        <v>16</v>
      </c>
      <c r="F302" s="13" t="s">
        <v>17</v>
      </c>
      <c r="G302" s="13" t="s">
        <v>18</v>
      </c>
      <c r="H302" s="13"/>
      <c r="I302" s="13"/>
      <c r="J302" s="13"/>
      <c r="K302" s="13"/>
      <c r="L302" s="14" t="s">
        <v>634</v>
      </c>
    </row>
    <row r="303" ht="15.75" customHeight="1">
      <c r="A303" s="16">
        <v>46052.71224537037</v>
      </c>
      <c r="B303" s="12">
        <v>1791.0</v>
      </c>
      <c r="C303" s="13" t="s">
        <v>14</v>
      </c>
      <c r="D303" s="13" t="s">
        <v>635</v>
      </c>
      <c r="E303" s="13" t="s">
        <v>16</v>
      </c>
      <c r="F303" s="13" t="s">
        <v>17</v>
      </c>
      <c r="G303" s="13" t="s">
        <v>18</v>
      </c>
      <c r="H303" s="13"/>
      <c r="I303" s="13"/>
      <c r="J303" s="13"/>
      <c r="K303" s="13"/>
      <c r="L303" s="14" t="s">
        <v>636</v>
      </c>
    </row>
    <row r="304" ht="15.75" customHeight="1">
      <c r="A304" s="17">
        <v>46053.134108796294</v>
      </c>
      <c r="B304" s="12">
        <v>0.78</v>
      </c>
      <c r="C304" s="13" t="s">
        <v>14</v>
      </c>
      <c r="D304" s="13" t="s">
        <v>637</v>
      </c>
      <c r="E304" s="13" t="s">
        <v>16</v>
      </c>
      <c r="F304" s="13" t="s">
        <v>17</v>
      </c>
      <c r="G304" s="13" t="s">
        <v>18</v>
      </c>
      <c r="H304" s="13" t="s">
        <v>638</v>
      </c>
      <c r="I304" s="13" t="s">
        <v>639</v>
      </c>
      <c r="J304" s="13" t="s">
        <v>640</v>
      </c>
      <c r="K304" s="13" t="s">
        <v>641</v>
      </c>
      <c r="L304" s="14" t="s">
        <v>642</v>
      </c>
    </row>
    <row r="305" ht="15.75" customHeight="1">
      <c r="A305" s="17">
        <v>46053.292974537035</v>
      </c>
      <c r="B305" s="12">
        <v>60.0</v>
      </c>
      <c r="C305" s="13" t="s">
        <v>107</v>
      </c>
      <c r="D305" s="13" t="s">
        <v>244</v>
      </c>
      <c r="E305" s="13" t="s">
        <v>16</v>
      </c>
      <c r="F305" s="13" t="s">
        <v>17</v>
      </c>
      <c r="G305" s="13" t="s">
        <v>18</v>
      </c>
      <c r="H305" s="13" t="s">
        <v>638</v>
      </c>
      <c r="I305" s="13" t="s">
        <v>643</v>
      </c>
      <c r="J305" s="13" t="s">
        <v>640</v>
      </c>
      <c r="K305" s="13" t="s">
        <v>644</v>
      </c>
      <c r="L305" s="14" t="s">
        <v>645</v>
      </c>
    </row>
    <row r="306" ht="15.75" customHeight="1">
      <c r="A306" s="17">
        <v>46053.40015046296</v>
      </c>
      <c r="B306" s="12">
        <v>339.0</v>
      </c>
      <c r="C306" s="13" t="s">
        <v>14</v>
      </c>
      <c r="D306" s="13" t="s">
        <v>646</v>
      </c>
      <c r="E306" s="13" t="s">
        <v>16</v>
      </c>
      <c r="F306" s="13" t="s">
        <v>17</v>
      </c>
      <c r="G306" s="13" t="s">
        <v>18</v>
      </c>
      <c r="H306" s="13" t="s">
        <v>647</v>
      </c>
      <c r="I306" s="13" t="s">
        <v>648</v>
      </c>
      <c r="J306" s="13" t="s">
        <v>640</v>
      </c>
      <c r="K306" s="13" t="s">
        <v>649</v>
      </c>
      <c r="L306" s="14" t="s">
        <v>650</v>
      </c>
    </row>
    <row r="307" ht="15.75" customHeight="1">
      <c r="A307" s="17">
        <v>46053.48688657407</v>
      </c>
      <c r="B307" s="12">
        <v>10.88</v>
      </c>
      <c r="C307" s="13" t="s">
        <v>14</v>
      </c>
      <c r="D307" s="13" t="s">
        <v>637</v>
      </c>
      <c r="E307" s="13" t="s">
        <v>16</v>
      </c>
      <c r="F307" s="13" t="s">
        <v>17</v>
      </c>
      <c r="G307" s="13" t="s">
        <v>18</v>
      </c>
      <c r="H307" s="13" t="s">
        <v>638</v>
      </c>
      <c r="I307" s="13" t="s">
        <v>639</v>
      </c>
      <c r="J307" s="13" t="s">
        <v>640</v>
      </c>
      <c r="K307" s="13" t="s">
        <v>651</v>
      </c>
      <c r="L307" s="14" t="s">
        <v>652</v>
      </c>
    </row>
    <row r="308" ht="15.75" customHeight="1">
      <c r="A308" s="17">
        <v>46053.539305555554</v>
      </c>
      <c r="B308" s="12">
        <v>75.0</v>
      </c>
      <c r="C308" s="13" t="s">
        <v>14</v>
      </c>
      <c r="D308" s="13" t="s">
        <v>68</v>
      </c>
      <c r="E308" s="13" t="s">
        <v>16</v>
      </c>
      <c r="F308" s="13" t="s">
        <v>17</v>
      </c>
      <c r="G308" s="13" t="s">
        <v>18</v>
      </c>
      <c r="H308" s="13" t="s">
        <v>647</v>
      </c>
      <c r="I308" s="13" t="s">
        <v>653</v>
      </c>
      <c r="J308" s="13" t="s">
        <v>640</v>
      </c>
      <c r="K308" s="13" t="s">
        <v>654</v>
      </c>
      <c r="L308" s="14" t="s">
        <v>655</v>
      </c>
    </row>
    <row r="309" ht="15.75" customHeight="1">
      <c r="A309" s="17">
        <v>46053.8890162037</v>
      </c>
      <c r="B309" s="12">
        <v>1249.0</v>
      </c>
      <c r="C309" s="13" t="s">
        <v>14</v>
      </c>
      <c r="D309" s="13" t="s">
        <v>656</v>
      </c>
      <c r="E309" s="13" t="s">
        <v>24</v>
      </c>
      <c r="F309" s="13" t="s">
        <v>17</v>
      </c>
      <c r="G309" s="13" t="s">
        <v>18</v>
      </c>
      <c r="H309" s="13" t="s">
        <v>647</v>
      </c>
      <c r="I309" s="13" t="s">
        <v>648</v>
      </c>
      <c r="J309" s="13" t="s">
        <v>657</v>
      </c>
      <c r="K309" s="13" t="s">
        <v>658</v>
      </c>
      <c r="L309" s="14" t="s">
        <v>659</v>
      </c>
    </row>
    <row r="310" ht="15.75" customHeight="1">
      <c r="A310" s="17">
        <v>46054.19133101852</v>
      </c>
      <c r="B310" s="12">
        <v>112.43</v>
      </c>
      <c r="C310" s="13" t="s">
        <v>107</v>
      </c>
      <c r="D310" s="13" t="s">
        <v>660</v>
      </c>
      <c r="E310" s="13" t="s">
        <v>16</v>
      </c>
      <c r="F310" s="13" t="s">
        <v>17</v>
      </c>
      <c r="G310" s="13" t="s">
        <v>18</v>
      </c>
      <c r="H310" s="13" t="s">
        <v>638</v>
      </c>
      <c r="I310" s="13" t="s">
        <v>643</v>
      </c>
      <c r="J310" s="13" t="s">
        <v>640</v>
      </c>
      <c r="K310" s="13" t="s">
        <v>661</v>
      </c>
      <c r="L310" s="14" t="s">
        <v>662</v>
      </c>
    </row>
    <row r="311" ht="15.75" customHeight="1">
      <c r="A311" s="17">
        <v>46054.89635416667</v>
      </c>
      <c r="B311" s="12">
        <v>74.0</v>
      </c>
      <c r="C311" s="13" t="s">
        <v>14</v>
      </c>
      <c r="D311" s="13" t="s">
        <v>86</v>
      </c>
      <c r="E311" s="13" t="s">
        <v>16</v>
      </c>
      <c r="F311" s="13" t="s">
        <v>17</v>
      </c>
      <c r="G311" s="13" t="s">
        <v>18</v>
      </c>
      <c r="H311" s="13" t="s">
        <v>647</v>
      </c>
      <c r="I311" s="13" t="s">
        <v>663</v>
      </c>
      <c r="J311" s="13" t="s">
        <v>640</v>
      </c>
      <c r="K311" s="13" t="s">
        <v>664</v>
      </c>
      <c r="L311" s="14" t="s">
        <v>665</v>
      </c>
    </row>
    <row r="312" ht="15.75" customHeight="1">
      <c r="A312" s="17">
        <v>46055.19508101852</v>
      </c>
      <c r="B312" s="12">
        <v>19.93</v>
      </c>
      <c r="C312" s="13" t="s">
        <v>14</v>
      </c>
      <c r="D312" s="13" t="s">
        <v>666</v>
      </c>
      <c r="E312" s="13" t="s">
        <v>16</v>
      </c>
      <c r="F312" s="13" t="s">
        <v>17</v>
      </c>
      <c r="G312" s="13" t="s">
        <v>18</v>
      </c>
      <c r="H312" s="13" t="s">
        <v>638</v>
      </c>
      <c r="I312" s="13" t="s">
        <v>639</v>
      </c>
      <c r="J312" s="13" t="s">
        <v>640</v>
      </c>
      <c r="K312" s="13" t="s">
        <v>667</v>
      </c>
      <c r="L312" s="14" t="s">
        <v>668</v>
      </c>
    </row>
    <row r="313" ht="15.75" customHeight="1">
      <c r="A313" s="17">
        <v>46055.31150462963</v>
      </c>
      <c r="B313" s="12">
        <v>3.87</v>
      </c>
      <c r="C313" s="13" t="s">
        <v>14</v>
      </c>
      <c r="D313" s="13" t="s">
        <v>666</v>
      </c>
      <c r="E313" s="13" t="s">
        <v>16</v>
      </c>
      <c r="F313" s="13" t="s">
        <v>17</v>
      </c>
      <c r="G313" s="13" t="s">
        <v>18</v>
      </c>
      <c r="H313" s="13" t="s">
        <v>638</v>
      </c>
      <c r="I313" s="13" t="s">
        <v>639</v>
      </c>
      <c r="J313" s="13" t="s">
        <v>640</v>
      </c>
      <c r="K313" s="13" t="s">
        <v>669</v>
      </c>
      <c r="L313" s="14" t="s">
        <v>670</v>
      </c>
    </row>
    <row r="314" ht="15.75" customHeight="1">
      <c r="A314" s="17">
        <v>46055.47244212963</v>
      </c>
      <c r="B314" s="12">
        <v>300.0</v>
      </c>
      <c r="C314" s="13" t="s">
        <v>14</v>
      </c>
      <c r="D314" s="13" t="s">
        <v>671</v>
      </c>
      <c r="E314" s="13" t="s">
        <v>24</v>
      </c>
      <c r="F314" s="13" t="s">
        <v>17</v>
      </c>
      <c r="G314" s="13" t="s">
        <v>18</v>
      </c>
      <c r="H314" s="13" t="s">
        <v>647</v>
      </c>
      <c r="I314" s="13" t="s">
        <v>672</v>
      </c>
      <c r="J314" s="13" t="s">
        <v>640</v>
      </c>
      <c r="K314" s="13" t="s">
        <v>673</v>
      </c>
      <c r="L314" s="14" t="s">
        <v>674</v>
      </c>
    </row>
    <row r="315" ht="15.75" customHeight="1">
      <c r="A315" s="17">
        <v>46055.52578703704</v>
      </c>
      <c r="B315" s="12">
        <v>46.75</v>
      </c>
      <c r="C315" s="13" t="s">
        <v>14</v>
      </c>
      <c r="D315" s="13" t="s">
        <v>65</v>
      </c>
      <c r="E315" s="13" t="s">
        <v>24</v>
      </c>
      <c r="F315" s="13" t="s">
        <v>17</v>
      </c>
      <c r="G315" s="13" t="s">
        <v>18</v>
      </c>
      <c r="H315" s="13" t="s">
        <v>647</v>
      </c>
      <c r="I315" s="13" t="s">
        <v>653</v>
      </c>
      <c r="J315" s="13" t="s">
        <v>640</v>
      </c>
      <c r="K315" s="13" t="s">
        <v>675</v>
      </c>
      <c r="L315" s="14" t="s">
        <v>676</v>
      </c>
    </row>
    <row r="316" ht="15.75" customHeight="1">
      <c r="A316" s="17">
        <v>46055.78554398148</v>
      </c>
      <c r="B316" s="12">
        <v>11.56</v>
      </c>
      <c r="C316" s="13" t="s">
        <v>14</v>
      </c>
      <c r="D316" s="13" t="s">
        <v>666</v>
      </c>
      <c r="E316" s="13" t="s">
        <v>16</v>
      </c>
      <c r="F316" s="13" t="s">
        <v>17</v>
      </c>
      <c r="G316" s="13" t="s">
        <v>18</v>
      </c>
      <c r="H316" s="13" t="s">
        <v>638</v>
      </c>
      <c r="I316" s="13" t="s">
        <v>639</v>
      </c>
      <c r="J316" s="13" t="s">
        <v>640</v>
      </c>
      <c r="K316" s="13" t="s">
        <v>677</v>
      </c>
      <c r="L316" s="14" t="s">
        <v>678</v>
      </c>
    </row>
    <row r="317" ht="15.75" customHeight="1">
      <c r="A317" s="17">
        <v>46055.78702546297</v>
      </c>
      <c r="B317" s="12">
        <v>11.56</v>
      </c>
      <c r="C317" s="13" t="s">
        <v>14</v>
      </c>
      <c r="D317" s="13" t="s">
        <v>666</v>
      </c>
      <c r="E317" s="13" t="s">
        <v>16</v>
      </c>
      <c r="F317" s="13" t="s">
        <v>17</v>
      </c>
      <c r="G317" s="13" t="s">
        <v>18</v>
      </c>
      <c r="H317" s="13" t="s">
        <v>638</v>
      </c>
      <c r="I317" s="13" t="s">
        <v>639</v>
      </c>
      <c r="J317" s="13" t="s">
        <v>640</v>
      </c>
      <c r="K317" s="13" t="s">
        <v>679</v>
      </c>
      <c r="L317" s="14" t="s">
        <v>680</v>
      </c>
    </row>
    <row r="318" ht="15.75" customHeight="1">
      <c r="A318" s="17">
        <v>46055.83844907407</v>
      </c>
      <c r="B318" s="12">
        <v>20.79</v>
      </c>
      <c r="C318" s="13" t="s">
        <v>14</v>
      </c>
      <c r="D318" s="13" t="s">
        <v>637</v>
      </c>
      <c r="E318" s="13" t="s">
        <v>16</v>
      </c>
      <c r="F318" s="13" t="s">
        <v>17</v>
      </c>
      <c r="G318" s="13" t="s">
        <v>18</v>
      </c>
      <c r="H318" s="13" t="s">
        <v>638</v>
      </c>
      <c r="I318" s="13" t="s">
        <v>639</v>
      </c>
      <c r="J318" s="13" t="s">
        <v>640</v>
      </c>
      <c r="K318" s="13" t="s">
        <v>681</v>
      </c>
      <c r="L318" s="14" t="s">
        <v>682</v>
      </c>
    </row>
    <row r="319" ht="15.75" customHeight="1">
      <c r="A319" s="17">
        <v>46055.975625</v>
      </c>
      <c r="B319" s="12">
        <v>29.6</v>
      </c>
      <c r="C319" s="13" t="s">
        <v>14</v>
      </c>
      <c r="D319" s="13" t="s">
        <v>65</v>
      </c>
      <c r="E319" s="13" t="s">
        <v>16</v>
      </c>
      <c r="F319" s="13" t="s">
        <v>17</v>
      </c>
      <c r="G319" s="13" t="s">
        <v>18</v>
      </c>
      <c r="H319" s="13" t="s">
        <v>647</v>
      </c>
      <c r="I319" s="13" t="s">
        <v>653</v>
      </c>
      <c r="J319" s="13" t="s">
        <v>640</v>
      </c>
      <c r="K319" s="13" t="s">
        <v>683</v>
      </c>
      <c r="L319" s="14" t="s">
        <v>684</v>
      </c>
    </row>
    <row r="320" ht="15.75" customHeight="1">
      <c r="A320" s="17">
        <v>46055.9825</v>
      </c>
      <c r="B320" s="12">
        <v>133.0</v>
      </c>
      <c r="C320" s="13" t="s">
        <v>14</v>
      </c>
      <c r="D320" s="13" t="s">
        <v>33</v>
      </c>
      <c r="E320" s="13" t="s">
        <v>24</v>
      </c>
      <c r="F320" s="13" t="s">
        <v>17</v>
      </c>
      <c r="G320" s="13" t="s">
        <v>18</v>
      </c>
      <c r="H320" s="13" t="s">
        <v>647</v>
      </c>
      <c r="I320" s="13" t="s">
        <v>653</v>
      </c>
      <c r="J320" s="13" t="s">
        <v>640</v>
      </c>
      <c r="K320" s="13" t="s">
        <v>685</v>
      </c>
      <c r="L320" s="14" t="s">
        <v>686</v>
      </c>
    </row>
    <row r="321" ht="15.75" customHeight="1">
      <c r="A321" s="17">
        <v>46056.114270833335</v>
      </c>
      <c r="B321" s="12">
        <v>10.0</v>
      </c>
      <c r="C321" s="13" t="s">
        <v>107</v>
      </c>
      <c r="D321" s="13" t="s">
        <v>687</v>
      </c>
      <c r="E321" s="13" t="s">
        <v>24</v>
      </c>
      <c r="F321" s="13" t="s">
        <v>17</v>
      </c>
      <c r="G321" s="13" t="s">
        <v>18</v>
      </c>
      <c r="H321" s="13" t="s">
        <v>638</v>
      </c>
      <c r="I321" s="13" t="s">
        <v>643</v>
      </c>
      <c r="J321" s="13" t="s">
        <v>640</v>
      </c>
      <c r="K321" s="13" t="s">
        <v>688</v>
      </c>
      <c r="L321" s="14" t="s">
        <v>689</v>
      </c>
    </row>
    <row r="322" ht="15.75" customHeight="1">
      <c r="A322" s="17">
        <v>46056.15960648148</v>
      </c>
      <c r="B322" s="12">
        <v>2000.0</v>
      </c>
      <c r="C322" s="13" t="s">
        <v>14</v>
      </c>
      <c r="D322" s="13" t="s">
        <v>41</v>
      </c>
      <c r="E322" s="13" t="s">
        <v>690</v>
      </c>
      <c r="F322" s="13" t="s">
        <v>43</v>
      </c>
      <c r="G322" s="13" t="s">
        <v>44</v>
      </c>
      <c r="H322" s="13" t="s">
        <v>691</v>
      </c>
      <c r="I322" s="13" t="s">
        <v>692</v>
      </c>
      <c r="J322" s="13" t="s">
        <v>640</v>
      </c>
      <c r="K322" s="13" t="s">
        <v>693</v>
      </c>
      <c r="L322" s="14" t="s">
        <v>694</v>
      </c>
    </row>
    <row r="323" ht="15.75" customHeight="1">
      <c r="A323" s="17">
        <v>46056.18188657408</v>
      </c>
      <c r="B323" s="12">
        <v>35.0</v>
      </c>
      <c r="C323" s="13" t="s">
        <v>14</v>
      </c>
      <c r="D323" s="13" t="s">
        <v>197</v>
      </c>
      <c r="E323" s="13" t="s">
        <v>16</v>
      </c>
      <c r="F323" s="13" t="s">
        <v>17</v>
      </c>
      <c r="G323" s="13" t="s">
        <v>18</v>
      </c>
      <c r="H323" s="13" t="s">
        <v>647</v>
      </c>
      <c r="I323" s="13" t="s">
        <v>653</v>
      </c>
      <c r="J323" s="13" t="s">
        <v>640</v>
      </c>
      <c r="K323" s="13" t="s">
        <v>695</v>
      </c>
      <c r="L323" s="14" t="s">
        <v>696</v>
      </c>
    </row>
    <row r="324" ht="15.75" customHeight="1">
      <c r="A324" s="17">
        <v>46056.20958333333</v>
      </c>
      <c r="B324" s="12">
        <v>2000.0</v>
      </c>
      <c r="C324" s="13" t="s">
        <v>14</v>
      </c>
      <c r="D324" s="13" t="s">
        <v>697</v>
      </c>
      <c r="E324" s="13" t="s">
        <v>24</v>
      </c>
      <c r="F324" s="13" t="s">
        <v>17</v>
      </c>
      <c r="G324" s="13" t="s">
        <v>18</v>
      </c>
      <c r="H324" s="13" t="s">
        <v>638</v>
      </c>
      <c r="I324" s="13" t="s">
        <v>639</v>
      </c>
      <c r="J324" s="13" t="s">
        <v>640</v>
      </c>
      <c r="K324" s="13" t="s">
        <v>698</v>
      </c>
      <c r="L324" s="14" t="s">
        <v>699</v>
      </c>
    </row>
    <row r="325" ht="15.75" customHeight="1">
      <c r="A325" s="17">
        <v>46056.33568287037</v>
      </c>
      <c r="B325" s="12">
        <v>76.0</v>
      </c>
      <c r="C325" s="13" t="s">
        <v>14</v>
      </c>
      <c r="D325" s="13" t="s">
        <v>68</v>
      </c>
      <c r="E325" s="13" t="s">
        <v>16</v>
      </c>
      <c r="F325" s="13" t="s">
        <v>17</v>
      </c>
      <c r="G325" s="13" t="s">
        <v>18</v>
      </c>
      <c r="H325" s="13" t="s">
        <v>647</v>
      </c>
      <c r="I325" s="13" t="s">
        <v>653</v>
      </c>
      <c r="J325" s="13" t="s">
        <v>640</v>
      </c>
      <c r="K325" s="13" t="s">
        <v>700</v>
      </c>
      <c r="L325" s="14" t="s">
        <v>701</v>
      </c>
    </row>
    <row r="326" ht="15.75" customHeight="1">
      <c r="A326" s="17">
        <v>46056.85133101852</v>
      </c>
      <c r="B326" s="12">
        <v>200.0</v>
      </c>
      <c r="C326" s="13" t="s">
        <v>14</v>
      </c>
      <c r="D326" s="13" t="s">
        <v>233</v>
      </c>
      <c r="E326" s="13" t="s">
        <v>42</v>
      </c>
      <c r="F326" s="13" t="s">
        <v>43</v>
      </c>
      <c r="G326" s="13" t="s">
        <v>44</v>
      </c>
      <c r="H326" s="13" t="s">
        <v>702</v>
      </c>
      <c r="I326" s="13" t="s">
        <v>703</v>
      </c>
      <c r="J326" s="13" t="s">
        <v>640</v>
      </c>
      <c r="K326" s="13" t="s">
        <v>704</v>
      </c>
      <c r="L326" s="14" t="s">
        <v>705</v>
      </c>
    </row>
    <row r="327" ht="15.75" customHeight="1">
      <c r="A327" s="17">
        <v>46056.854675925926</v>
      </c>
      <c r="B327" s="12">
        <v>200.0</v>
      </c>
      <c r="C327" s="13" t="s">
        <v>14</v>
      </c>
      <c r="D327" s="13" t="s">
        <v>706</v>
      </c>
      <c r="E327" s="13" t="s">
        <v>42</v>
      </c>
      <c r="F327" s="13" t="s">
        <v>43</v>
      </c>
      <c r="G327" s="13" t="s">
        <v>44</v>
      </c>
      <c r="H327" s="13" t="s">
        <v>702</v>
      </c>
      <c r="I327" s="13" t="s">
        <v>703</v>
      </c>
      <c r="J327" s="13" t="s">
        <v>657</v>
      </c>
      <c r="K327" s="13" t="s">
        <v>707</v>
      </c>
      <c r="L327" s="14" t="s">
        <v>708</v>
      </c>
    </row>
    <row r="328" ht="15.75" customHeight="1">
      <c r="A328" s="17">
        <v>46056.87340277778</v>
      </c>
      <c r="B328" s="12">
        <v>60.0</v>
      </c>
      <c r="C328" s="13" t="s">
        <v>14</v>
      </c>
      <c r="D328" s="13">
        <v>3.3413435E7</v>
      </c>
      <c r="E328" s="13" t="s">
        <v>42</v>
      </c>
      <c r="F328" s="13" t="s">
        <v>43</v>
      </c>
      <c r="G328" s="13" t="s">
        <v>44</v>
      </c>
      <c r="H328" s="13" t="s">
        <v>702</v>
      </c>
      <c r="I328" s="13" t="s">
        <v>703</v>
      </c>
      <c r="J328" s="13" t="s">
        <v>640</v>
      </c>
      <c r="K328" s="13" t="s">
        <v>709</v>
      </c>
      <c r="L328" s="14" t="s">
        <v>710</v>
      </c>
    </row>
    <row r="329" ht="15.75" customHeight="1">
      <c r="A329" s="17">
        <v>46057.06453703703</v>
      </c>
      <c r="B329" s="12">
        <v>32.0</v>
      </c>
      <c r="C329" s="13" t="s">
        <v>14</v>
      </c>
      <c r="D329" s="13" t="s">
        <v>30</v>
      </c>
      <c r="E329" s="13" t="s">
        <v>24</v>
      </c>
      <c r="F329" s="13" t="s">
        <v>17</v>
      </c>
      <c r="G329" s="13" t="s">
        <v>18</v>
      </c>
      <c r="H329" s="13" t="s">
        <v>638</v>
      </c>
      <c r="I329" s="13" t="s">
        <v>711</v>
      </c>
      <c r="J329" s="13" t="s">
        <v>640</v>
      </c>
      <c r="K329" s="13" t="s">
        <v>712</v>
      </c>
      <c r="L329" s="14" t="s">
        <v>713</v>
      </c>
    </row>
    <row r="330" ht="15.75" customHeight="1">
      <c r="A330" s="17">
        <v>46057.08146990741</v>
      </c>
      <c r="B330" s="12">
        <v>59.08</v>
      </c>
      <c r="C330" s="13" t="s">
        <v>14</v>
      </c>
      <c r="D330" s="13" t="s">
        <v>714</v>
      </c>
      <c r="E330" s="13" t="s">
        <v>16</v>
      </c>
      <c r="F330" s="13" t="s">
        <v>17</v>
      </c>
      <c r="G330" s="13" t="s">
        <v>18</v>
      </c>
      <c r="H330" s="13" t="s">
        <v>638</v>
      </c>
      <c r="I330" s="13" t="s">
        <v>711</v>
      </c>
      <c r="J330" s="13" t="s">
        <v>640</v>
      </c>
      <c r="K330" s="13" t="s">
        <v>715</v>
      </c>
      <c r="L330" s="14" t="s">
        <v>716</v>
      </c>
    </row>
    <row r="331" ht="15.75" customHeight="1">
      <c r="A331" s="17">
        <v>46057.17017361111</v>
      </c>
      <c r="B331" s="12">
        <v>7.0</v>
      </c>
      <c r="C331" s="13" t="s">
        <v>107</v>
      </c>
      <c r="D331" s="15" t="s">
        <v>717</v>
      </c>
      <c r="E331" s="13" t="s">
        <v>16</v>
      </c>
      <c r="F331" s="13" t="s">
        <v>17</v>
      </c>
      <c r="G331" s="13" t="s">
        <v>18</v>
      </c>
      <c r="H331" s="13" t="s">
        <v>638</v>
      </c>
      <c r="I331" s="13" t="s">
        <v>643</v>
      </c>
      <c r="J331" s="13" t="s">
        <v>640</v>
      </c>
      <c r="K331" s="13" t="s">
        <v>718</v>
      </c>
      <c r="L331" s="14" t="s">
        <v>719</v>
      </c>
    </row>
    <row r="332" ht="15.75" customHeight="1">
      <c r="A332" s="17">
        <v>46057.254652777774</v>
      </c>
      <c r="B332" s="12">
        <v>64.0</v>
      </c>
      <c r="C332" s="13" t="s">
        <v>14</v>
      </c>
      <c r="D332" s="13" t="s">
        <v>68</v>
      </c>
      <c r="E332" s="13" t="s">
        <v>16</v>
      </c>
      <c r="F332" s="13" t="s">
        <v>17</v>
      </c>
      <c r="G332" s="13" t="s">
        <v>18</v>
      </c>
      <c r="H332" s="13" t="s">
        <v>647</v>
      </c>
      <c r="I332" s="13" t="s">
        <v>653</v>
      </c>
      <c r="J332" s="13" t="s">
        <v>640</v>
      </c>
      <c r="K332" s="13" t="s">
        <v>720</v>
      </c>
      <c r="L332" s="14" t="s">
        <v>721</v>
      </c>
    </row>
    <row r="333" ht="15.75" customHeight="1">
      <c r="A333" s="17">
        <v>46057.40864583333</v>
      </c>
      <c r="B333" s="12">
        <v>58.0</v>
      </c>
      <c r="C333" s="13" t="s">
        <v>14</v>
      </c>
      <c r="D333" s="13" t="s">
        <v>65</v>
      </c>
      <c r="E333" s="13" t="s">
        <v>16</v>
      </c>
      <c r="F333" s="13" t="s">
        <v>17</v>
      </c>
      <c r="G333" s="13" t="s">
        <v>18</v>
      </c>
      <c r="H333" s="13" t="s">
        <v>647</v>
      </c>
      <c r="I333" s="13" t="s">
        <v>653</v>
      </c>
      <c r="J333" s="13" t="s">
        <v>640</v>
      </c>
      <c r="K333" s="13" t="s">
        <v>722</v>
      </c>
      <c r="L333" s="14" t="s">
        <v>723</v>
      </c>
    </row>
    <row r="334" ht="15.75" customHeight="1">
      <c r="A334" s="17">
        <v>46057.91793981481</v>
      </c>
      <c r="B334" s="12">
        <v>200.0</v>
      </c>
      <c r="C334" s="13" t="s">
        <v>14</v>
      </c>
      <c r="D334" s="13" t="s">
        <v>724</v>
      </c>
      <c r="E334" s="13" t="s">
        <v>42</v>
      </c>
      <c r="F334" s="13" t="s">
        <v>43</v>
      </c>
      <c r="G334" s="13" t="s">
        <v>44</v>
      </c>
      <c r="H334" s="13" t="s">
        <v>702</v>
      </c>
      <c r="I334" s="13" t="s">
        <v>703</v>
      </c>
      <c r="J334" s="13" t="s">
        <v>657</v>
      </c>
      <c r="K334" s="13" t="s">
        <v>725</v>
      </c>
      <c r="L334" s="14" t="s">
        <v>726</v>
      </c>
    </row>
    <row r="335" ht="15.75" customHeight="1">
      <c r="A335" s="17">
        <v>46058.11378472223</v>
      </c>
      <c r="B335" s="12">
        <v>200.0</v>
      </c>
      <c r="C335" s="13" t="s">
        <v>14</v>
      </c>
      <c r="D335" s="13">
        <v>3.1645649E7</v>
      </c>
      <c r="E335" s="13" t="s">
        <v>42</v>
      </c>
      <c r="F335" s="13" t="s">
        <v>43</v>
      </c>
      <c r="G335" s="13" t="s">
        <v>44</v>
      </c>
      <c r="H335" s="13" t="s">
        <v>702</v>
      </c>
      <c r="I335" s="13" t="s">
        <v>703</v>
      </c>
      <c r="J335" s="13" t="s">
        <v>640</v>
      </c>
      <c r="K335" s="13" t="s">
        <v>727</v>
      </c>
      <c r="L335" s="14" t="s">
        <v>728</v>
      </c>
    </row>
    <row r="336" ht="15.75" customHeight="1">
      <c r="A336" s="17">
        <v>46058.11782407407</v>
      </c>
      <c r="B336" s="12">
        <v>200.0</v>
      </c>
      <c r="C336" s="13" t="s">
        <v>14</v>
      </c>
      <c r="D336" s="13">
        <v>6.652448E7</v>
      </c>
      <c r="E336" s="13" t="s">
        <v>42</v>
      </c>
      <c r="F336" s="13" t="s">
        <v>43</v>
      </c>
      <c r="G336" s="13" t="s">
        <v>44</v>
      </c>
      <c r="H336" s="13" t="s">
        <v>702</v>
      </c>
      <c r="I336" s="13" t="s">
        <v>703</v>
      </c>
      <c r="J336" s="13" t="s">
        <v>657</v>
      </c>
      <c r="K336" s="13" t="s">
        <v>729</v>
      </c>
      <c r="L336" s="14" t="s">
        <v>730</v>
      </c>
    </row>
    <row r="337" ht="15.75" customHeight="1">
      <c r="A337" s="17">
        <v>46058.24197916666</v>
      </c>
      <c r="B337" s="12">
        <v>350.0</v>
      </c>
      <c r="C337" s="13" t="s">
        <v>14</v>
      </c>
      <c r="D337" s="13" t="s">
        <v>731</v>
      </c>
      <c r="E337" s="13" t="s">
        <v>42</v>
      </c>
      <c r="F337" s="13" t="s">
        <v>43</v>
      </c>
      <c r="G337" s="13" t="s">
        <v>44</v>
      </c>
      <c r="H337" s="13" t="s">
        <v>702</v>
      </c>
      <c r="I337" s="13" t="s">
        <v>703</v>
      </c>
      <c r="J337" s="13" t="s">
        <v>657</v>
      </c>
      <c r="K337" s="13" t="s">
        <v>732</v>
      </c>
      <c r="L337" s="14" t="s">
        <v>733</v>
      </c>
    </row>
    <row r="338" ht="15.75" customHeight="1">
      <c r="A338" s="17">
        <v>46058.25643518519</v>
      </c>
      <c r="B338" s="12">
        <v>2410.0</v>
      </c>
      <c r="C338" s="13" t="s">
        <v>14</v>
      </c>
      <c r="D338" s="13" t="s">
        <v>221</v>
      </c>
      <c r="E338" s="13" t="s">
        <v>24</v>
      </c>
      <c r="F338" s="13" t="s">
        <v>17</v>
      </c>
      <c r="G338" s="13" t="s">
        <v>18</v>
      </c>
      <c r="H338" s="13" t="s">
        <v>734</v>
      </c>
      <c r="I338" s="13" t="s">
        <v>734</v>
      </c>
      <c r="J338" s="13" t="s">
        <v>640</v>
      </c>
      <c r="K338" s="13" t="s">
        <v>735</v>
      </c>
      <c r="L338" s="14" t="s">
        <v>736</v>
      </c>
    </row>
    <row r="339" ht="15.75" customHeight="1">
      <c r="A339" s="17">
        <v>46058.28707175926</v>
      </c>
      <c r="B339" s="12">
        <v>50.0</v>
      </c>
      <c r="C339" s="13" t="s">
        <v>14</v>
      </c>
      <c r="D339" s="13" t="s">
        <v>284</v>
      </c>
      <c r="E339" s="13" t="s">
        <v>16</v>
      </c>
      <c r="F339" s="13" t="s">
        <v>17</v>
      </c>
      <c r="G339" s="13" t="s">
        <v>18</v>
      </c>
      <c r="H339" s="13" t="s">
        <v>638</v>
      </c>
      <c r="I339" s="13" t="s">
        <v>639</v>
      </c>
      <c r="J339" s="13" t="s">
        <v>640</v>
      </c>
      <c r="K339" s="13" t="s">
        <v>737</v>
      </c>
      <c r="L339" s="14" t="s">
        <v>738</v>
      </c>
    </row>
    <row r="340" ht="15.75" customHeight="1">
      <c r="A340" s="17">
        <v>46058.334120370375</v>
      </c>
      <c r="B340" s="12">
        <v>10.0</v>
      </c>
      <c r="C340" s="13" t="s">
        <v>14</v>
      </c>
      <c r="D340" s="13" t="s">
        <v>739</v>
      </c>
      <c r="E340" s="13" t="s">
        <v>16</v>
      </c>
      <c r="F340" s="13" t="s">
        <v>17</v>
      </c>
      <c r="G340" s="13" t="s">
        <v>18</v>
      </c>
      <c r="H340" s="13" t="s">
        <v>647</v>
      </c>
      <c r="I340" s="13" t="s">
        <v>663</v>
      </c>
      <c r="J340" s="13" t="s">
        <v>657</v>
      </c>
      <c r="K340" s="13" t="s">
        <v>740</v>
      </c>
      <c r="L340" s="14" t="s">
        <v>741</v>
      </c>
    </row>
    <row r="341" ht="15.75" customHeight="1">
      <c r="A341" s="17">
        <v>46058.442777777775</v>
      </c>
      <c r="B341" s="12">
        <v>330.0</v>
      </c>
      <c r="C341" s="13" t="s">
        <v>14</v>
      </c>
      <c r="D341" s="13" t="s">
        <v>742</v>
      </c>
      <c r="E341" s="13" t="s">
        <v>24</v>
      </c>
      <c r="F341" s="13" t="s">
        <v>17</v>
      </c>
      <c r="G341" s="13" t="s">
        <v>18</v>
      </c>
      <c r="H341" s="13" t="s">
        <v>647</v>
      </c>
      <c r="I341" s="13" t="s">
        <v>672</v>
      </c>
      <c r="J341" s="13" t="s">
        <v>657</v>
      </c>
      <c r="K341" s="13" t="s">
        <v>743</v>
      </c>
      <c r="L341" s="14" t="s">
        <v>744</v>
      </c>
    </row>
    <row r="342" ht="15.75" customHeight="1">
      <c r="A342" s="17">
        <v>46059.137465277774</v>
      </c>
      <c r="B342" s="12">
        <v>10.19</v>
      </c>
      <c r="C342" s="13" t="s">
        <v>107</v>
      </c>
      <c r="D342" s="13" t="s">
        <v>108</v>
      </c>
      <c r="E342" s="13" t="s">
        <v>24</v>
      </c>
      <c r="F342" s="13" t="s">
        <v>17</v>
      </c>
      <c r="G342" s="13" t="s">
        <v>18</v>
      </c>
      <c r="H342" s="13" t="s">
        <v>638</v>
      </c>
      <c r="I342" s="13" t="s">
        <v>643</v>
      </c>
      <c r="J342" s="13" t="s">
        <v>657</v>
      </c>
      <c r="K342" s="13" t="s">
        <v>745</v>
      </c>
      <c r="L342" s="14" t="s">
        <v>746</v>
      </c>
    </row>
    <row r="343" ht="15.75" customHeight="1">
      <c r="A343" s="17">
        <v>46059.16142361111</v>
      </c>
      <c r="B343" s="12">
        <v>10.88</v>
      </c>
      <c r="C343" s="13" t="s">
        <v>107</v>
      </c>
      <c r="D343" s="13" t="s">
        <v>687</v>
      </c>
      <c r="E343" s="13" t="s">
        <v>24</v>
      </c>
      <c r="F343" s="13" t="s">
        <v>17</v>
      </c>
      <c r="G343" s="13" t="s">
        <v>18</v>
      </c>
      <c r="H343" s="13" t="s">
        <v>638</v>
      </c>
      <c r="I343" s="13" t="s">
        <v>643</v>
      </c>
      <c r="J343" s="13" t="s">
        <v>640</v>
      </c>
      <c r="K343" s="13" t="s">
        <v>747</v>
      </c>
      <c r="L343" s="14" t="s">
        <v>748</v>
      </c>
    </row>
    <row r="344" ht="15.75" customHeight="1">
      <c r="A344" s="17">
        <v>46059.1628125</v>
      </c>
      <c r="B344" s="12">
        <v>163.57</v>
      </c>
      <c r="C344" s="13" t="s">
        <v>107</v>
      </c>
      <c r="D344" s="13" t="s">
        <v>110</v>
      </c>
      <c r="E344" s="13" t="s">
        <v>24</v>
      </c>
      <c r="F344" s="13" t="s">
        <v>17</v>
      </c>
      <c r="G344" s="13" t="s">
        <v>18</v>
      </c>
      <c r="H344" s="13" t="s">
        <v>638</v>
      </c>
      <c r="I344" s="13" t="s">
        <v>643</v>
      </c>
      <c r="J344" s="13" t="s">
        <v>640</v>
      </c>
      <c r="K344" s="13" t="s">
        <v>749</v>
      </c>
      <c r="L344" s="14" t="s">
        <v>750</v>
      </c>
    </row>
    <row r="345" ht="15.75" customHeight="1">
      <c r="L345" s="18"/>
    </row>
    <row r="346" ht="15.75" customHeight="1">
      <c r="L346" s="18"/>
    </row>
    <row r="347" ht="15.75" customHeight="1">
      <c r="L347" s="18"/>
    </row>
    <row r="348" ht="15.75" customHeight="1">
      <c r="L348" s="18"/>
    </row>
    <row r="349" ht="15.75" customHeight="1">
      <c r="L349" s="18"/>
    </row>
    <row r="350" ht="15.75" customHeight="1">
      <c r="L350" s="18"/>
    </row>
    <row r="351" ht="15.75" customHeight="1">
      <c r="L351" s="18"/>
    </row>
    <row r="352" ht="15.75" customHeight="1">
      <c r="L352" s="18"/>
    </row>
    <row r="353" ht="15.75" customHeight="1">
      <c r="L353" s="18"/>
    </row>
    <row r="354" ht="15.75" customHeight="1">
      <c r="L354" s="18"/>
    </row>
    <row r="355" ht="15.75" customHeight="1">
      <c r="L355" s="18"/>
    </row>
    <row r="356" ht="15.75" customHeight="1">
      <c r="L356" s="18"/>
    </row>
    <row r="357" ht="15.75" customHeight="1">
      <c r="L357" s="18"/>
    </row>
    <row r="358" ht="15.75" customHeight="1">
      <c r="L358" s="18"/>
    </row>
    <row r="359" ht="15.75" customHeight="1">
      <c r="L359" s="18"/>
    </row>
    <row r="360" ht="15.75" customHeight="1">
      <c r="L360" s="18"/>
    </row>
    <row r="361" ht="15.75" customHeight="1">
      <c r="L361" s="18"/>
    </row>
    <row r="362" ht="15.75" customHeight="1">
      <c r="L362" s="18"/>
    </row>
    <row r="363" ht="15.75" customHeight="1">
      <c r="L363" s="18"/>
    </row>
    <row r="364" ht="15.75" customHeight="1">
      <c r="L364" s="18"/>
    </row>
    <row r="365" ht="15.75" customHeight="1">
      <c r="L365" s="18"/>
    </row>
    <row r="366" ht="15.75" customHeight="1">
      <c r="L366" s="18"/>
    </row>
    <row r="367" ht="15.75" customHeight="1">
      <c r="L367" s="18"/>
    </row>
    <row r="368" ht="15.75" customHeight="1">
      <c r="L368" s="18"/>
    </row>
    <row r="369" ht="15.75" customHeight="1">
      <c r="L369" s="18"/>
    </row>
    <row r="370" ht="15.75" customHeight="1">
      <c r="L370" s="18"/>
    </row>
    <row r="371" ht="15.75" customHeight="1">
      <c r="L371" s="18"/>
    </row>
    <row r="372" ht="15.75" customHeight="1">
      <c r="L372" s="18"/>
    </row>
    <row r="373" ht="15.75" customHeight="1">
      <c r="L373" s="18"/>
    </row>
    <row r="374" ht="15.75" customHeight="1">
      <c r="L374" s="18"/>
    </row>
    <row r="375" ht="15.75" customHeight="1">
      <c r="L375" s="18"/>
    </row>
    <row r="376" ht="15.75" customHeight="1">
      <c r="L376" s="18"/>
    </row>
    <row r="377" ht="15.75" customHeight="1">
      <c r="L377" s="18"/>
    </row>
    <row r="378" ht="15.75" customHeight="1">
      <c r="L378" s="18"/>
    </row>
    <row r="379" ht="15.75" customHeight="1">
      <c r="L379" s="18"/>
    </row>
    <row r="380" ht="15.75" customHeight="1">
      <c r="L380" s="18"/>
    </row>
    <row r="381" ht="15.75" customHeight="1">
      <c r="L381" s="18"/>
    </row>
    <row r="382" ht="15.75" customHeight="1">
      <c r="L382" s="18"/>
    </row>
    <row r="383" ht="15.75" customHeight="1">
      <c r="L383" s="18"/>
    </row>
    <row r="384" ht="15.75" customHeight="1">
      <c r="L384" s="18"/>
    </row>
    <row r="385" ht="15.75" customHeight="1">
      <c r="L385" s="18"/>
    </row>
    <row r="386" ht="15.75" customHeight="1">
      <c r="L386" s="18"/>
    </row>
    <row r="387" ht="15.75" customHeight="1">
      <c r="L387" s="18"/>
    </row>
    <row r="388" ht="15.75" customHeight="1">
      <c r="L388" s="18"/>
    </row>
    <row r="389" ht="15.75" customHeight="1">
      <c r="L389" s="18"/>
    </row>
    <row r="390" ht="15.75" customHeight="1">
      <c r="L390" s="18"/>
    </row>
    <row r="391" ht="15.75" customHeight="1">
      <c r="L391" s="18"/>
    </row>
    <row r="392" ht="15.75" customHeight="1">
      <c r="L392" s="18"/>
    </row>
    <row r="393" ht="15.75" customHeight="1">
      <c r="L393" s="18"/>
    </row>
    <row r="394" ht="15.75" customHeight="1">
      <c r="L394" s="18"/>
    </row>
    <row r="395" ht="15.75" customHeight="1">
      <c r="L395" s="18"/>
    </row>
    <row r="396" ht="15.75" customHeight="1">
      <c r="L396" s="18"/>
    </row>
    <row r="397" ht="15.75" customHeight="1">
      <c r="L397" s="18"/>
    </row>
    <row r="398" ht="15.75" customHeight="1">
      <c r="L398" s="18"/>
    </row>
    <row r="399" ht="15.75" customHeight="1">
      <c r="L399" s="18"/>
    </row>
    <row r="400" ht="15.75" customHeight="1">
      <c r="L400" s="18"/>
    </row>
    <row r="401" ht="15.75" customHeight="1">
      <c r="L401" s="18"/>
    </row>
    <row r="402" ht="15.75" customHeight="1">
      <c r="L402" s="18"/>
    </row>
    <row r="403" ht="15.75" customHeight="1">
      <c r="L403" s="18"/>
    </row>
    <row r="404" ht="15.75" customHeight="1">
      <c r="L404" s="18"/>
    </row>
    <row r="405" ht="15.75" customHeight="1">
      <c r="L405" s="18"/>
    </row>
    <row r="406" ht="15.75" customHeight="1">
      <c r="L406" s="18"/>
    </row>
    <row r="407" ht="15.75" customHeight="1">
      <c r="L407" s="18"/>
    </row>
    <row r="408" ht="15.75" customHeight="1">
      <c r="L408" s="18"/>
    </row>
    <row r="409" ht="15.75" customHeight="1">
      <c r="L409" s="18"/>
    </row>
    <row r="410" ht="15.75" customHeight="1">
      <c r="L410" s="18"/>
    </row>
    <row r="411" ht="15.75" customHeight="1">
      <c r="L411" s="18"/>
    </row>
    <row r="412" ht="15.75" customHeight="1">
      <c r="L412" s="18"/>
    </row>
    <row r="413" ht="15.75" customHeight="1">
      <c r="L413" s="18"/>
    </row>
    <row r="414" ht="15.75" customHeight="1">
      <c r="L414" s="18"/>
    </row>
    <row r="415" ht="15.75" customHeight="1">
      <c r="L415" s="18"/>
    </row>
    <row r="416" ht="15.75" customHeight="1">
      <c r="L416" s="18"/>
    </row>
    <row r="417" ht="15.75" customHeight="1">
      <c r="L417" s="18"/>
    </row>
    <row r="418" ht="15.75" customHeight="1">
      <c r="L418" s="18"/>
    </row>
    <row r="419" ht="15.75" customHeight="1">
      <c r="L419" s="18"/>
    </row>
    <row r="420" ht="15.75" customHeight="1">
      <c r="L420" s="18"/>
    </row>
    <row r="421" ht="15.75" customHeight="1">
      <c r="L421" s="18"/>
    </row>
    <row r="422" ht="15.75" customHeight="1">
      <c r="L422" s="18"/>
    </row>
    <row r="423" ht="15.75" customHeight="1">
      <c r="L423" s="18"/>
    </row>
    <row r="424" ht="15.75" customHeight="1">
      <c r="L424" s="18"/>
    </row>
    <row r="425" ht="15.75" customHeight="1">
      <c r="L425" s="18"/>
    </row>
    <row r="426" ht="15.75" customHeight="1">
      <c r="L426" s="18"/>
    </row>
    <row r="427" ht="15.75" customHeight="1">
      <c r="L427" s="18"/>
    </row>
    <row r="428" ht="15.75" customHeight="1">
      <c r="L428" s="18"/>
    </row>
    <row r="429" ht="15.75" customHeight="1">
      <c r="L429" s="18"/>
    </row>
    <row r="430" ht="15.75" customHeight="1">
      <c r="L430" s="18"/>
    </row>
    <row r="431" ht="15.75" customHeight="1">
      <c r="L431" s="18"/>
    </row>
    <row r="432" ht="15.75" customHeight="1">
      <c r="L432" s="18"/>
    </row>
    <row r="433" ht="15.75" customHeight="1">
      <c r="L433" s="18"/>
    </row>
    <row r="434" ht="15.75" customHeight="1">
      <c r="L434" s="18"/>
    </row>
    <row r="435" ht="15.75" customHeight="1">
      <c r="L435" s="18"/>
    </row>
    <row r="436" ht="15.75" customHeight="1">
      <c r="L436" s="18"/>
    </row>
    <row r="437" ht="15.75" customHeight="1">
      <c r="L437" s="18"/>
    </row>
    <row r="438" ht="15.75" customHeight="1">
      <c r="L438" s="18"/>
    </row>
    <row r="439" ht="15.75" customHeight="1">
      <c r="L439" s="18"/>
    </row>
    <row r="440" ht="15.75" customHeight="1">
      <c r="L440" s="18"/>
    </row>
    <row r="441" ht="15.75" customHeight="1">
      <c r="L441" s="18"/>
    </row>
    <row r="442" ht="15.75" customHeight="1">
      <c r="L442" s="18"/>
    </row>
    <row r="443" ht="15.75" customHeight="1">
      <c r="L443" s="18"/>
    </row>
    <row r="444" ht="15.75" customHeight="1">
      <c r="L444" s="18"/>
    </row>
    <row r="445" ht="15.75" customHeight="1">
      <c r="L445" s="18"/>
    </row>
    <row r="446" ht="15.75" customHeight="1">
      <c r="L446" s="18"/>
    </row>
    <row r="447" ht="15.75" customHeight="1">
      <c r="L447" s="18"/>
    </row>
    <row r="448" ht="15.75" customHeight="1">
      <c r="L448" s="18"/>
    </row>
    <row r="449" ht="15.75" customHeight="1">
      <c r="L449" s="18"/>
    </row>
    <row r="450" ht="15.75" customHeight="1">
      <c r="L450" s="18"/>
    </row>
    <row r="451" ht="15.75" customHeight="1">
      <c r="L451" s="18"/>
    </row>
    <row r="452" ht="15.75" customHeight="1">
      <c r="L452" s="18"/>
    </row>
    <row r="453" ht="15.75" customHeight="1">
      <c r="L453" s="18"/>
    </row>
    <row r="454" ht="15.75" customHeight="1">
      <c r="L454" s="18"/>
    </row>
    <row r="455" ht="15.75" customHeight="1">
      <c r="L455" s="18"/>
    </row>
    <row r="456" ht="15.75" customHeight="1">
      <c r="L456" s="18"/>
    </row>
    <row r="457" ht="15.75" customHeight="1">
      <c r="L457" s="18"/>
    </row>
    <row r="458" ht="15.75" customHeight="1">
      <c r="L458" s="18"/>
    </row>
    <row r="459" ht="15.75" customHeight="1">
      <c r="L459" s="18"/>
    </row>
    <row r="460" ht="15.75" customHeight="1">
      <c r="L460" s="18"/>
    </row>
    <row r="461" ht="15.75" customHeight="1">
      <c r="L461" s="18"/>
    </row>
    <row r="462" ht="15.75" customHeight="1">
      <c r="L462" s="18"/>
    </row>
    <row r="463" ht="15.75" customHeight="1">
      <c r="L463" s="18"/>
    </row>
    <row r="464" ht="15.75" customHeight="1">
      <c r="L464" s="18"/>
    </row>
    <row r="465" ht="15.75" customHeight="1">
      <c r="L465" s="18"/>
    </row>
    <row r="466" ht="15.75" customHeight="1">
      <c r="L466" s="18"/>
    </row>
    <row r="467" ht="15.75" customHeight="1">
      <c r="L467" s="18"/>
    </row>
    <row r="468" ht="15.75" customHeight="1">
      <c r="L468" s="18"/>
    </row>
    <row r="469" ht="15.75" customHeight="1">
      <c r="L469" s="18"/>
    </row>
    <row r="470" ht="15.75" customHeight="1">
      <c r="L470" s="18"/>
    </row>
    <row r="471" ht="15.75" customHeight="1">
      <c r="L471" s="18"/>
    </row>
    <row r="472" ht="15.75" customHeight="1">
      <c r="L472" s="18"/>
    </row>
    <row r="473" ht="15.75" customHeight="1">
      <c r="L473" s="18"/>
    </row>
    <row r="474" ht="15.75" customHeight="1">
      <c r="L474" s="18"/>
    </row>
    <row r="475" ht="15.75" customHeight="1">
      <c r="L475" s="18"/>
    </row>
    <row r="476" ht="15.75" customHeight="1">
      <c r="L476" s="18"/>
    </row>
    <row r="477" ht="15.75" customHeight="1">
      <c r="L477" s="18"/>
    </row>
    <row r="478" ht="15.75" customHeight="1">
      <c r="L478" s="18"/>
    </row>
    <row r="479" ht="15.75" customHeight="1">
      <c r="L479" s="18"/>
    </row>
    <row r="480" ht="15.75" customHeight="1">
      <c r="L480" s="18"/>
    </row>
    <row r="481" ht="15.75" customHeight="1">
      <c r="L481" s="18"/>
    </row>
    <row r="482" ht="15.75" customHeight="1">
      <c r="L482" s="18"/>
    </row>
    <row r="483" ht="15.75" customHeight="1">
      <c r="L483" s="18"/>
    </row>
    <row r="484" ht="15.75" customHeight="1">
      <c r="L484" s="18"/>
    </row>
    <row r="485" ht="15.75" customHeight="1">
      <c r="L485" s="18"/>
    </row>
    <row r="486" ht="15.75" customHeight="1">
      <c r="L486" s="18"/>
    </row>
    <row r="487" ht="15.75" customHeight="1">
      <c r="L487" s="18"/>
    </row>
    <row r="488" ht="15.75" customHeight="1">
      <c r="L488" s="18"/>
    </row>
    <row r="489" ht="15.75" customHeight="1">
      <c r="L489" s="18"/>
    </row>
    <row r="490" ht="15.75" customHeight="1">
      <c r="L490" s="18"/>
    </row>
    <row r="491" ht="15.75" customHeight="1">
      <c r="L491" s="18"/>
    </row>
    <row r="492" ht="15.75" customHeight="1">
      <c r="L492" s="18"/>
    </row>
    <row r="493" ht="15.75" customHeight="1">
      <c r="L493" s="18"/>
    </row>
    <row r="494" ht="15.75" customHeight="1">
      <c r="L494" s="18"/>
    </row>
    <row r="495" ht="15.75" customHeight="1">
      <c r="L495" s="18"/>
    </row>
    <row r="496" ht="15.75" customHeight="1">
      <c r="L496" s="18"/>
    </row>
    <row r="497" ht="15.75" customHeight="1">
      <c r="L497" s="18"/>
    </row>
    <row r="498" ht="15.75" customHeight="1">
      <c r="L498" s="18"/>
    </row>
    <row r="499" ht="15.75" customHeight="1">
      <c r="L499" s="18"/>
    </row>
    <row r="500" ht="15.75" customHeight="1">
      <c r="L500" s="18"/>
    </row>
    <row r="501" ht="15.75" customHeight="1">
      <c r="L501" s="18"/>
    </row>
    <row r="502" ht="15.75" customHeight="1">
      <c r="L502" s="18"/>
    </row>
    <row r="503" ht="15.75" customHeight="1">
      <c r="L503" s="18"/>
    </row>
    <row r="504" ht="15.75" customHeight="1">
      <c r="L504" s="18"/>
    </row>
    <row r="505" ht="15.75" customHeight="1">
      <c r="L505" s="18"/>
    </row>
    <row r="506" ht="15.75" customHeight="1">
      <c r="L506" s="18"/>
    </row>
    <row r="507" ht="15.75" customHeight="1">
      <c r="L507" s="18"/>
    </row>
    <row r="508" ht="15.75" customHeight="1">
      <c r="L508" s="18"/>
    </row>
    <row r="509" ht="15.75" customHeight="1">
      <c r="L509" s="18"/>
    </row>
    <row r="510" ht="15.75" customHeight="1">
      <c r="L510" s="18"/>
    </row>
    <row r="511" ht="15.75" customHeight="1">
      <c r="L511" s="18"/>
    </row>
    <row r="512" ht="15.75" customHeight="1">
      <c r="L512" s="18"/>
    </row>
    <row r="513" ht="15.75" customHeight="1">
      <c r="L513" s="18"/>
    </row>
    <row r="514" ht="15.75" customHeight="1">
      <c r="L514" s="18"/>
    </row>
    <row r="515" ht="15.75" customHeight="1">
      <c r="L515" s="18"/>
    </row>
    <row r="516" ht="15.75" customHeight="1">
      <c r="L516" s="18"/>
    </row>
    <row r="517" ht="15.75" customHeight="1">
      <c r="L517" s="18"/>
    </row>
    <row r="518" ht="15.75" customHeight="1">
      <c r="L518" s="18"/>
    </row>
    <row r="519" ht="15.75" customHeight="1">
      <c r="L519" s="18"/>
    </row>
    <row r="520" ht="15.75" customHeight="1">
      <c r="L520" s="18"/>
    </row>
    <row r="521" ht="15.75" customHeight="1">
      <c r="L521" s="18"/>
    </row>
    <row r="522" ht="15.75" customHeight="1">
      <c r="L522" s="18"/>
    </row>
    <row r="523" ht="15.75" customHeight="1">
      <c r="L523" s="18"/>
    </row>
    <row r="524" ht="15.75" customHeight="1">
      <c r="L524" s="18"/>
    </row>
    <row r="525" ht="15.75" customHeight="1">
      <c r="L525" s="18"/>
    </row>
    <row r="526" ht="15.75" customHeight="1">
      <c r="L526" s="18"/>
    </row>
    <row r="527" ht="15.75" customHeight="1">
      <c r="L527" s="18"/>
    </row>
    <row r="528" ht="15.75" customHeight="1">
      <c r="L528" s="18"/>
    </row>
    <row r="529" ht="15.75" customHeight="1">
      <c r="L529" s="18"/>
    </row>
    <row r="530" ht="15.75" customHeight="1">
      <c r="L530" s="18"/>
    </row>
    <row r="531" ht="15.75" customHeight="1">
      <c r="L531" s="18"/>
    </row>
    <row r="532" ht="15.75" customHeight="1">
      <c r="L532" s="18"/>
    </row>
    <row r="533" ht="15.75" customHeight="1">
      <c r="L533" s="18"/>
    </row>
    <row r="534" ht="15.75" customHeight="1">
      <c r="L534" s="18"/>
    </row>
    <row r="535" ht="15.75" customHeight="1">
      <c r="L535" s="18"/>
    </row>
    <row r="536" ht="15.75" customHeight="1">
      <c r="L536" s="18"/>
    </row>
    <row r="537" ht="15.75" customHeight="1">
      <c r="L537" s="18"/>
    </row>
    <row r="538" ht="15.75" customHeight="1">
      <c r="L538" s="18"/>
    </row>
    <row r="539" ht="15.75" customHeight="1">
      <c r="L539" s="18"/>
    </row>
    <row r="540" ht="15.75" customHeight="1">
      <c r="L540" s="18"/>
    </row>
    <row r="541" ht="15.75" customHeight="1">
      <c r="L541" s="18"/>
    </row>
    <row r="542" ht="15.75" customHeight="1">
      <c r="L542" s="18"/>
    </row>
    <row r="543" ht="15.75" customHeight="1">
      <c r="L543" s="18"/>
    </row>
    <row r="544" ht="15.75" customHeight="1">
      <c r="L544" s="18"/>
    </row>
    <row r="545" ht="15.75" customHeight="1">
      <c r="L545" s="18"/>
    </row>
    <row r="546" ht="15.75" customHeight="1">
      <c r="L546" s="18"/>
    </row>
    <row r="547" ht="15.75" customHeight="1">
      <c r="L547" s="18"/>
    </row>
    <row r="548" ht="15.75" customHeight="1">
      <c r="L548" s="18"/>
    </row>
    <row r="549" ht="15.75" customHeight="1">
      <c r="L549" s="18"/>
    </row>
    <row r="550" ht="15.75" customHeight="1">
      <c r="L550" s="18"/>
    </row>
    <row r="551" ht="15.75" customHeight="1">
      <c r="L551" s="18"/>
    </row>
    <row r="552" ht="15.75" customHeight="1">
      <c r="L552" s="18"/>
    </row>
    <row r="553" ht="15.75" customHeight="1">
      <c r="L553" s="18"/>
    </row>
    <row r="554" ht="15.75" customHeight="1">
      <c r="L554" s="18"/>
    </row>
    <row r="555" ht="15.75" customHeight="1">
      <c r="L555" s="18"/>
    </row>
    <row r="556" ht="15.75" customHeight="1">
      <c r="L556" s="18"/>
    </row>
    <row r="557" ht="15.75" customHeight="1">
      <c r="L557" s="18"/>
    </row>
    <row r="558" ht="15.75" customHeight="1">
      <c r="L558" s="18"/>
    </row>
    <row r="559" ht="15.75" customHeight="1">
      <c r="L559" s="18"/>
    </row>
    <row r="560" ht="15.75" customHeight="1">
      <c r="L560" s="18"/>
    </row>
    <row r="561" ht="15.75" customHeight="1">
      <c r="L561" s="18"/>
    </row>
    <row r="562" ht="15.75" customHeight="1">
      <c r="L562" s="18"/>
    </row>
    <row r="563" ht="15.75" customHeight="1">
      <c r="L563" s="18"/>
    </row>
    <row r="564" ht="15.75" customHeight="1">
      <c r="L564" s="18"/>
    </row>
    <row r="565" ht="15.75" customHeight="1">
      <c r="L565" s="18"/>
    </row>
    <row r="566" ht="15.75" customHeight="1">
      <c r="L566" s="18"/>
    </row>
    <row r="567" ht="15.75" customHeight="1">
      <c r="L567" s="18"/>
    </row>
    <row r="568" ht="15.75" customHeight="1">
      <c r="L568" s="18"/>
    </row>
    <row r="569" ht="15.75" customHeight="1">
      <c r="L569" s="18"/>
    </row>
    <row r="570" ht="15.75" customHeight="1">
      <c r="L570" s="18"/>
    </row>
    <row r="571" ht="15.75" customHeight="1">
      <c r="L571" s="18"/>
    </row>
    <row r="572" ht="15.75" customHeight="1">
      <c r="L572" s="18"/>
    </row>
    <row r="573" ht="15.75" customHeight="1">
      <c r="L573" s="18"/>
    </row>
    <row r="574" ht="15.75" customHeight="1">
      <c r="L574" s="18"/>
    </row>
    <row r="575" ht="15.75" customHeight="1">
      <c r="L575" s="18"/>
    </row>
    <row r="576" ht="15.75" customHeight="1">
      <c r="L576" s="18"/>
    </row>
    <row r="577" ht="15.75" customHeight="1">
      <c r="L577" s="18"/>
    </row>
    <row r="578" ht="15.75" customHeight="1">
      <c r="L578" s="18"/>
    </row>
    <row r="579" ht="15.75" customHeight="1">
      <c r="L579" s="18"/>
    </row>
    <row r="580" ht="15.75" customHeight="1">
      <c r="L580" s="18"/>
    </row>
    <row r="581" ht="15.75" customHeight="1">
      <c r="L581" s="18"/>
    </row>
    <row r="582" ht="15.75" customHeight="1">
      <c r="L582" s="18"/>
    </row>
    <row r="583" ht="15.75" customHeight="1">
      <c r="L583" s="18"/>
    </row>
    <row r="584" ht="15.75" customHeight="1">
      <c r="L584" s="18"/>
    </row>
    <row r="585" ht="15.75" customHeight="1">
      <c r="L585" s="18"/>
    </row>
    <row r="586" ht="15.75" customHeight="1">
      <c r="L586" s="18"/>
    </row>
    <row r="587" ht="15.75" customHeight="1">
      <c r="L587" s="18"/>
    </row>
    <row r="588" ht="15.75" customHeight="1">
      <c r="L588" s="18"/>
    </row>
    <row r="589" ht="15.75" customHeight="1">
      <c r="L589" s="18"/>
    </row>
    <row r="590" ht="15.75" customHeight="1">
      <c r="L590" s="18"/>
    </row>
    <row r="591" ht="15.75" customHeight="1">
      <c r="L591" s="18"/>
    </row>
    <row r="592" ht="15.75" customHeight="1">
      <c r="L592" s="18"/>
    </row>
    <row r="593" ht="15.75" customHeight="1">
      <c r="L593" s="18"/>
    </row>
    <row r="594" ht="15.75" customHeight="1">
      <c r="L594" s="18"/>
    </row>
    <row r="595" ht="15.75" customHeight="1">
      <c r="L595" s="18"/>
    </row>
    <row r="596" ht="15.75" customHeight="1">
      <c r="L596" s="18"/>
    </row>
    <row r="597" ht="15.75" customHeight="1">
      <c r="L597" s="18"/>
    </row>
    <row r="598" ht="15.75" customHeight="1">
      <c r="L598" s="18"/>
    </row>
    <row r="599" ht="15.75" customHeight="1">
      <c r="L599" s="18"/>
    </row>
    <row r="600" ht="15.75" customHeight="1">
      <c r="L600" s="18"/>
    </row>
    <row r="601" ht="15.75" customHeight="1">
      <c r="L601" s="18"/>
    </row>
    <row r="602" ht="15.75" customHeight="1">
      <c r="L602" s="18"/>
    </row>
    <row r="603" ht="15.75" customHeight="1">
      <c r="L603" s="18"/>
    </row>
    <row r="604" ht="15.75" customHeight="1">
      <c r="L604" s="18"/>
    </row>
    <row r="605" ht="15.75" customHeight="1">
      <c r="L605" s="18"/>
    </row>
    <row r="606" ht="15.75" customHeight="1">
      <c r="L606" s="18"/>
    </row>
    <row r="607" ht="15.75" customHeight="1">
      <c r="L607" s="18"/>
    </row>
    <row r="608" ht="15.75" customHeight="1">
      <c r="L608" s="18"/>
    </row>
    <row r="609" ht="15.75" customHeight="1">
      <c r="L609" s="18"/>
    </row>
    <row r="610" ht="15.75" customHeight="1">
      <c r="L610" s="18"/>
    </row>
    <row r="611" ht="15.75" customHeight="1">
      <c r="L611" s="18"/>
    </row>
    <row r="612" ht="15.75" customHeight="1">
      <c r="L612" s="18"/>
    </row>
    <row r="613" ht="15.75" customHeight="1">
      <c r="L613" s="18"/>
    </row>
    <row r="614" ht="15.75" customHeight="1">
      <c r="L614" s="18"/>
    </row>
    <row r="615" ht="15.75" customHeight="1">
      <c r="L615" s="18"/>
    </row>
    <row r="616" ht="15.75" customHeight="1">
      <c r="L616" s="18"/>
    </row>
    <row r="617" ht="15.75" customHeight="1">
      <c r="L617" s="18"/>
    </row>
    <row r="618" ht="15.75" customHeight="1">
      <c r="L618" s="18"/>
    </row>
    <row r="619" ht="15.75" customHeight="1">
      <c r="L619" s="18"/>
    </row>
    <row r="620" ht="15.75" customHeight="1">
      <c r="L620" s="18"/>
    </row>
    <row r="621" ht="15.75" customHeight="1">
      <c r="L621" s="18"/>
    </row>
    <row r="622" ht="15.75" customHeight="1">
      <c r="L622" s="18"/>
    </row>
    <row r="623" ht="15.75" customHeight="1">
      <c r="L623" s="18"/>
    </row>
    <row r="624" ht="15.75" customHeight="1">
      <c r="L624" s="18"/>
    </row>
    <row r="625" ht="15.75" customHeight="1">
      <c r="L625" s="18"/>
    </row>
    <row r="626" ht="15.75" customHeight="1">
      <c r="L626" s="18"/>
    </row>
    <row r="627" ht="15.75" customHeight="1">
      <c r="L627" s="18"/>
    </row>
    <row r="628" ht="15.75" customHeight="1">
      <c r="L628" s="18"/>
    </row>
    <row r="629" ht="15.75" customHeight="1">
      <c r="L629" s="18"/>
    </row>
    <row r="630" ht="15.75" customHeight="1">
      <c r="L630" s="18"/>
    </row>
    <row r="631" ht="15.75" customHeight="1">
      <c r="L631" s="18"/>
    </row>
    <row r="632" ht="15.75" customHeight="1">
      <c r="L632" s="18"/>
    </row>
    <row r="633" ht="15.75" customHeight="1">
      <c r="L633" s="18"/>
    </row>
    <row r="634" ht="15.75" customHeight="1">
      <c r="L634" s="18"/>
    </row>
    <row r="635" ht="15.75" customHeight="1">
      <c r="L635" s="18"/>
    </row>
    <row r="636" ht="15.75" customHeight="1">
      <c r="L636" s="18"/>
    </row>
    <row r="637" ht="15.75" customHeight="1">
      <c r="L637" s="18"/>
    </row>
    <row r="638" ht="15.75" customHeight="1">
      <c r="L638" s="18"/>
    </row>
    <row r="639" ht="15.75" customHeight="1">
      <c r="L639" s="18"/>
    </row>
    <row r="640" ht="15.75" customHeight="1">
      <c r="L640" s="18"/>
    </row>
    <row r="641" ht="15.75" customHeight="1">
      <c r="L641" s="18"/>
    </row>
    <row r="642" ht="15.75" customHeight="1">
      <c r="L642" s="18"/>
    </row>
    <row r="643" ht="15.75" customHeight="1">
      <c r="L643" s="18"/>
    </row>
    <row r="644" ht="15.75" customHeight="1">
      <c r="L644" s="18"/>
    </row>
    <row r="645" ht="15.75" customHeight="1">
      <c r="L645" s="18"/>
    </row>
    <row r="646" ht="15.75" customHeight="1">
      <c r="L646" s="18"/>
    </row>
    <row r="647" ht="15.75" customHeight="1">
      <c r="L647" s="18"/>
    </row>
    <row r="648" ht="15.75" customHeight="1">
      <c r="L648" s="18"/>
    </row>
    <row r="649" ht="15.75" customHeight="1">
      <c r="L649" s="18"/>
    </row>
    <row r="650" ht="15.75" customHeight="1">
      <c r="L650" s="18"/>
    </row>
    <row r="651" ht="15.75" customHeight="1">
      <c r="L651" s="18"/>
    </row>
    <row r="652" ht="15.75" customHeight="1">
      <c r="L652" s="18"/>
    </row>
    <row r="653" ht="15.75" customHeight="1">
      <c r="L653" s="18"/>
    </row>
    <row r="654" ht="15.75" customHeight="1">
      <c r="L654" s="18"/>
    </row>
    <row r="655" ht="15.75" customHeight="1">
      <c r="L655" s="18"/>
    </row>
    <row r="656" ht="15.75" customHeight="1">
      <c r="L656" s="18"/>
    </row>
    <row r="657" ht="15.75" customHeight="1">
      <c r="L657" s="18"/>
    </row>
    <row r="658" ht="15.75" customHeight="1">
      <c r="L658" s="18"/>
    </row>
    <row r="659" ht="15.75" customHeight="1">
      <c r="L659" s="18"/>
    </row>
    <row r="660" ht="15.75" customHeight="1">
      <c r="L660" s="18"/>
    </row>
    <row r="661" ht="15.75" customHeight="1">
      <c r="L661" s="18"/>
    </row>
    <row r="662" ht="15.75" customHeight="1">
      <c r="L662" s="18"/>
    </row>
    <row r="663" ht="15.75" customHeight="1">
      <c r="L663" s="18"/>
    </row>
    <row r="664" ht="15.75" customHeight="1">
      <c r="L664" s="18"/>
    </row>
    <row r="665" ht="15.75" customHeight="1">
      <c r="L665" s="18"/>
    </row>
    <row r="666" ht="15.75" customHeight="1">
      <c r="L666" s="18"/>
    </row>
    <row r="667" ht="15.75" customHeight="1">
      <c r="L667" s="18"/>
    </row>
    <row r="668" ht="15.75" customHeight="1">
      <c r="L668" s="18"/>
    </row>
    <row r="669" ht="15.75" customHeight="1">
      <c r="L669" s="18"/>
    </row>
    <row r="670" ht="15.75" customHeight="1">
      <c r="L670" s="18"/>
    </row>
    <row r="671" ht="15.75" customHeight="1">
      <c r="L671" s="18"/>
    </row>
    <row r="672" ht="15.75" customHeight="1">
      <c r="L672" s="18"/>
    </row>
    <row r="673" ht="15.75" customHeight="1">
      <c r="L673" s="18"/>
    </row>
    <row r="674" ht="15.75" customHeight="1">
      <c r="L674" s="18"/>
    </row>
    <row r="675" ht="15.75" customHeight="1">
      <c r="L675" s="18"/>
    </row>
    <row r="676" ht="15.75" customHeight="1">
      <c r="L676" s="18"/>
    </row>
    <row r="677" ht="15.75" customHeight="1">
      <c r="L677" s="18"/>
    </row>
    <row r="678" ht="15.75" customHeight="1">
      <c r="L678" s="18"/>
    </row>
    <row r="679" ht="15.75" customHeight="1">
      <c r="L679" s="18"/>
    </row>
    <row r="680" ht="15.75" customHeight="1">
      <c r="L680" s="18"/>
    </row>
    <row r="681" ht="15.75" customHeight="1">
      <c r="L681" s="18"/>
    </row>
    <row r="682" ht="15.75" customHeight="1">
      <c r="L682" s="18"/>
    </row>
    <row r="683" ht="15.75" customHeight="1">
      <c r="L683" s="18"/>
    </row>
    <row r="684" ht="15.75" customHeight="1">
      <c r="L684" s="18"/>
    </row>
    <row r="685" ht="15.75" customHeight="1">
      <c r="L685" s="18"/>
    </row>
    <row r="686" ht="15.75" customHeight="1">
      <c r="L686" s="18"/>
    </row>
    <row r="687" ht="15.75" customHeight="1">
      <c r="L687" s="18"/>
    </row>
    <row r="688" ht="15.75" customHeight="1">
      <c r="L688" s="18"/>
    </row>
    <row r="689" ht="15.75" customHeight="1">
      <c r="L689" s="18"/>
    </row>
    <row r="690" ht="15.75" customHeight="1">
      <c r="L690" s="18"/>
    </row>
    <row r="691" ht="15.75" customHeight="1">
      <c r="L691" s="18"/>
    </row>
    <row r="692" ht="15.75" customHeight="1">
      <c r="L692" s="18"/>
    </row>
    <row r="693" ht="15.75" customHeight="1">
      <c r="L693" s="18"/>
    </row>
    <row r="694" ht="15.75" customHeight="1">
      <c r="L694" s="18"/>
    </row>
    <row r="695" ht="15.75" customHeight="1">
      <c r="L695" s="18"/>
    </row>
    <row r="696" ht="15.75" customHeight="1">
      <c r="L696" s="18"/>
    </row>
    <row r="697" ht="15.75" customHeight="1">
      <c r="L697" s="18"/>
    </row>
    <row r="698" ht="15.75" customHeight="1">
      <c r="L698" s="18"/>
    </row>
    <row r="699" ht="15.75" customHeight="1">
      <c r="L699" s="18"/>
    </row>
    <row r="700" ht="15.75" customHeight="1">
      <c r="L700" s="18"/>
    </row>
    <row r="701" ht="15.75" customHeight="1">
      <c r="L701" s="18"/>
    </row>
    <row r="702" ht="15.75" customHeight="1">
      <c r="L702" s="18"/>
    </row>
    <row r="703" ht="15.75" customHeight="1">
      <c r="L703" s="18"/>
    </row>
    <row r="704" ht="15.75" customHeight="1">
      <c r="L704" s="18"/>
    </row>
    <row r="705" ht="15.75" customHeight="1">
      <c r="L705" s="18"/>
    </row>
    <row r="706" ht="15.75" customHeight="1">
      <c r="L706" s="18"/>
    </row>
    <row r="707" ht="15.75" customHeight="1">
      <c r="L707" s="18"/>
    </row>
    <row r="708" ht="15.75" customHeight="1">
      <c r="L708" s="18"/>
    </row>
    <row r="709" ht="15.75" customHeight="1">
      <c r="L709" s="18"/>
    </row>
    <row r="710" ht="15.75" customHeight="1">
      <c r="L710" s="18"/>
    </row>
    <row r="711" ht="15.75" customHeight="1">
      <c r="L711" s="18"/>
    </row>
    <row r="712" ht="15.75" customHeight="1">
      <c r="L712" s="18"/>
    </row>
    <row r="713" ht="15.75" customHeight="1">
      <c r="L713" s="18"/>
    </row>
    <row r="714" ht="15.75" customHeight="1">
      <c r="L714" s="18"/>
    </row>
    <row r="715" ht="15.75" customHeight="1">
      <c r="L715" s="18"/>
    </row>
    <row r="716" ht="15.75" customHeight="1">
      <c r="L716" s="18"/>
    </row>
    <row r="717" ht="15.75" customHeight="1">
      <c r="L717" s="18"/>
    </row>
    <row r="718" ht="15.75" customHeight="1">
      <c r="L718" s="18"/>
    </row>
    <row r="719" ht="15.75" customHeight="1">
      <c r="L719" s="18"/>
    </row>
    <row r="720" ht="15.75" customHeight="1">
      <c r="L720" s="18"/>
    </row>
    <row r="721" ht="15.75" customHeight="1">
      <c r="L721" s="18"/>
    </row>
    <row r="722" ht="15.75" customHeight="1">
      <c r="L722" s="18"/>
    </row>
    <row r="723" ht="15.75" customHeight="1">
      <c r="L723" s="18"/>
    </row>
    <row r="724" ht="15.75" customHeight="1">
      <c r="L724" s="18"/>
    </row>
    <row r="725" ht="15.75" customHeight="1">
      <c r="L725" s="18"/>
    </row>
    <row r="726" ht="15.75" customHeight="1">
      <c r="L726" s="18"/>
    </row>
    <row r="727" ht="15.75" customHeight="1">
      <c r="L727" s="18"/>
    </row>
    <row r="728" ht="15.75" customHeight="1">
      <c r="L728" s="18"/>
    </row>
    <row r="729" ht="15.75" customHeight="1">
      <c r="L729" s="18"/>
    </row>
    <row r="730" ht="15.75" customHeight="1">
      <c r="L730" s="18"/>
    </row>
    <row r="731" ht="15.75" customHeight="1">
      <c r="L731" s="18"/>
    </row>
    <row r="732" ht="15.75" customHeight="1">
      <c r="L732" s="18"/>
    </row>
    <row r="733" ht="15.75" customHeight="1">
      <c r="L733" s="18"/>
    </row>
    <row r="734" ht="15.75" customHeight="1">
      <c r="L734" s="18"/>
    </row>
    <row r="735" ht="15.75" customHeight="1">
      <c r="L735" s="18"/>
    </row>
    <row r="736" ht="15.75" customHeight="1">
      <c r="L736" s="18"/>
    </row>
    <row r="737" ht="15.75" customHeight="1">
      <c r="L737" s="18"/>
    </row>
    <row r="738" ht="15.75" customHeight="1">
      <c r="L738" s="18"/>
    </row>
    <row r="739" ht="15.75" customHeight="1">
      <c r="L739" s="18"/>
    </row>
    <row r="740" ht="15.75" customHeight="1">
      <c r="L740" s="18"/>
    </row>
    <row r="741" ht="15.75" customHeight="1">
      <c r="L741" s="18"/>
    </row>
    <row r="742" ht="15.75" customHeight="1">
      <c r="L742" s="18"/>
    </row>
    <row r="743" ht="15.75" customHeight="1">
      <c r="L743" s="18"/>
    </row>
    <row r="744" ht="15.75" customHeight="1">
      <c r="L744" s="18"/>
    </row>
    <row r="745" ht="15.75" customHeight="1">
      <c r="L745" s="18"/>
    </row>
    <row r="746" ht="15.75" customHeight="1">
      <c r="L746" s="18"/>
    </row>
    <row r="747" ht="15.75" customHeight="1">
      <c r="L747" s="18"/>
    </row>
    <row r="748" ht="15.75" customHeight="1">
      <c r="L748" s="18"/>
    </row>
    <row r="749" ht="15.75" customHeight="1">
      <c r="L749" s="18"/>
    </row>
    <row r="750" ht="15.75" customHeight="1">
      <c r="L750" s="18"/>
    </row>
    <row r="751" ht="15.75" customHeight="1">
      <c r="L751" s="18"/>
    </row>
    <row r="752" ht="15.75" customHeight="1">
      <c r="L752" s="18"/>
    </row>
    <row r="753" ht="15.75" customHeight="1">
      <c r="L753" s="18"/>
    </row>
    <row r="754" ht="15.75" customHeight="1">
      <c r="L754" s="18"/>
    </row>
    <row r="755" ht="15.75" customHeight="1">
      <c r="L755" s="18"/>
    </row>
    <row r="756" ht="15.75" customHeight="1">
      <c r="L756" s="18"/>
    </row>
    <row r="757" ht="15.75" customHeight="1">
      <c r="L757" s="18"/>
    </row>
    <row r="758" ht="15.75" customHeight="1">
      <c r="L758" s="18"/>
    </row>
    <row r="759" ht="15.75" customHeight="1">
      <c r="L759" s="18"/>
    </row>
    <row r="760" ht="15.75" customHeight="1">
      <c r="L760" s="18"/>
    </row>
    <row r="761" ht="15.75" customHeight="1">
      <c r="L761" s="18"/>
    </row>
    <row r="762" ht="15.75" customHeight="1">
      <c r="L762" s="18"/>
    </row>
    <row r="763" ht="15.75" customHeight="1">
      <c r="L763" s="18"/>
    </row>
    <row r="764" ht="15.75" customHeight="1">
      <c r="L764" s="18"/>
    </row>
    <row r="765" ht="15.75" customHeight="1">
      <c r="L765" s="18"/>
    </row>
    <row r="766" ht="15.75" customHeight="1">
      <c r="L766" s="18"/>
    </row>
    <row r="767" ht="15.75" customHeight="1">
      <c r="L767" s="18"/>
    </row>
    <row r="768" ht="15.75" customHeight="1">
      <c r="L768" s="18"/>
    </row>
    <row r="769" ht="15.75" customHeight="1">
      <c r="L769" s="18"/>
    </row>
    <row r="770" ht="15.75" customHeight="1">
      <c r="L770" s="18"/>
    </row>
    <row r="771" ht="15.75" customHeight="1">
      <c r="L771" s="18"/>
    </row>
    <row r="772" ht="15.75" customHeight="1">
      <c r="L772" s="18"/>
    </row>
    <row r="773" ht="15.75" customHeight="1">
      <c r="L773" s="18"/>
    </row>
    <row r="774" ht="15.75" customHeight="1">
      <c r="L774" s="18"/>
    </row>
    <row r="775" ht="15.75" customHeight="1">
      <c r="L775" s="18"/>
    </row>
    <row r="776" ht="15.75" customHeight="1">
      <c r="L776" s="18"/>
    </row>
    <row r="777" ht="15.75" customHeight="1">
      <c r="L777" s="18"/>
    </row>
    <row r="778" ht="15.75" customHeight="1">
      <c r="L778" s="18"/>
    </row>
    <row r="779" ht="15.75" customHeight="1">
      <c r="L779" s="18"/>
    </row>
    <row r="780" ht="15.75" customHeight="1">
      <c r="L780" s="18"/>
    </row>
    <row r="781" ht="15.75" customHeight="1">
      <c r="L781" s="18"/>
    </row>
    <row r="782" ht="15.75" customHeight="1">
      <c r="L782" s="18"/>
    </row>
    <row r="783" ht="15.75" customHeight="1">
      <c r="L783" s="18"/>
    </row>
    <row r="784" ht="15.75" customHeight="1">
      <c r="L784" s="18"/>
    </row>
    <row r="785" ht="15.75" customHeight="1">
      <c r="L785" s="18"/>
    </row>
    <row r="786" ht="15.75" customHeight="1">
      <c r="L786" s="18"/>
    </row>
    <row r="787" ht="15.75" customHeight="1">
      <c r="L787" s="18"/>
    </row>
    <row r="788" ht="15.75" customHeight="1">
      <c r="L788" s="18"/>
    </row>
    <row r="789" ht="15.75" customHeight="1">
      <c r="L789" s="18"/>
    </row>
    <row r="790" ht="15.75" customHeight="1">
      <c r="L790" s="18"/>
    </row>
    <row r="791" ht="15.75" customHeight="1">
      <c r="L791" s="18"/>
    </row>
    <row r="792" ht="15.75" customHeight="1">
      <c r="L792" s="18"/>
    </row>
    <row r="793" ht="15.75" customHeight="1">
      <c r="L793" s="18"/>
    </row>
    <row r="794" ht="15.75" customHeight="1">
      <c r="L794" s="18"/>
    </row>
    <row r="795" ht="15.75" customHeight="1">
      <c r="L795" s="18"/>
    </row>
    <row r="796" ht="15.75" customHeight="1">
      <c r="L796" s="18"/>
    </row>
    <row r="797" ht="15.75" customHeight="1">
      <c r="L797" s="18"/>
    </row>
    <row r="798" ht="15.75" customHeight="1">
      <c r="L798" s="18"/>
    </row>
    <row r="799" ht="15.75" customHeight="1">
      <c r="L799" s="18"/>
    </row>
    <row r="800" ht="15.75" customHeight="1">
      <c r="L800" s="18"/>
    </row>
    <row r="801" ht="15.75" customHeight="1">
      <c r="L801" s="18"/>
    </row>
    <row r="802" ht="15.75" customHeight="1">
      <c r="L802" s="18"/>
    </row>
    <row r="803" ht="15.75" customHeight="1">
      <c r="L803" s="18"/>
    </row>
    <row r="804" ht="15.75" customHeight="1">
      <c r="L804" s="18"/>
    </row>
    <row r="805" ht="15.75" customHeight="1">
      <c r="L805" s="18"/>
    </row>
    <row r="806" ht="15.75" customHeight="1">
      <c r="L806" s="18"/>
    </row>
    <row r="807" ht="15.75" customHeight="1">
      <c r="L807" s="18"/>
    </row>
    <row r="808" ht="15.75" customHeight="1">
      <c r="L808" s="18"/>
    </row>
    <row r="809" ht="15.75" customHeight="1">
      <c r="L809" s="18"/>
    </row>
    <row r="810" ht="15.75" customHeight="1">
      <c r="L810" s="18"/>
    </row>
    <row r="811" ht="15.75" customHeight="1">
      <c r="L811" s="18"/>
    </row>
    <row r="812" ht="15.75" customHeight="1">
      <c r="L812" s="18"/>
    </row>
    <row r="813" ht="15.75" customHeight="1">
      <c r="L813" s="18"/>
    </row>
    <row r="814" ht="15.75" customHeight="1">
      <c r="L814" s="18"/>
    </row>
    <row r="815" ht="15.75" customHeight="1">
      <c r="L815" s="18"/>
    </row>
    <row r="816" ht="15.75" customHeight="1">
      <c r="L816" s="18"/>
    </row>
    <row r="817" ht="15.75" customHeight="1">
      <c r="L817" s="18"/>
    </row>
    <row r="818" ht="15.75" customHeight="1">
      <c r="L818" s="18"/>
    </row>
    <row r="819" ht="15.75" customHeight="1">
      <c r="L819" s="18"/>
    </row>
    <row r="820" ht="15.75" customHeight="1">
      <c r="L820" s="18"/>
    </row>
    <row r="821" ht="15.75" customHeight="1">
      <c r="L821" s="18"/>
    </row>
    <row r="822" ht="15.75" customHeight="1">
      <c r="L822" s="18"/>
    </row>
    <row r="823" ht="15.75" customHeight="1">
      <c r="L823" s="18"/>
    </row>
    <row r="824" ht="15.75" customHeight="1">
      <c r="L824" s="18"/>
    </row>
    <row r="825" ht="15.75" customHeight="1">
      <c r="L825" s="18"/>
    </row>
    <row r="826" ht="15.75" customHeight="1">
      <c r="L826" s="18"/>
    </row>
    <row r="827" ht="15.75" customHeight="1">
      <c r="L827" s="18"/>
    </row>
    <row r="828" ht="15.75" customHeight="1">
      <c r="L828" s="18"/>
    </row>
    <row r="829" ht="15.75" customHeight="1">
      <c r="L829" s="18"/>
    </row>
    <row r="830" ht="15.75" customHeight="1">
      <c r="L830" s="18"/>
    </row>
    <row r="831" ht="15.75" customHeight="1">
      <c r="L831" s="18"/>
    </row>
    <row r="832" ht="15.75" customHeight="1">
      <c r="L832" s="18"/>
    </row>
    <row r="833" ht="15.75" customHeight="1">
      <c r="L833" s="18"/>
    </row>
    <row r="834" ht="15.75" customHeight="1">
      <c r="L834" s="18"/>
    </row>
    <row r="835" ht="15.75" customHeight="1">
      <c r="L835" s="18"/>
    </row>
    <row r="836" ht="15.75" customHeight="1">
      <c r="L836" s="18"/>
    </row>
    <row r="837" ht="15.75" customHeight="1">
      <c r="L837" s="18"/>
    </row>
    <row r="838" ht="15.75" customHeight="1">
      <c r="L838" s="18"/>
    </row>
    <row r="839" ht="15.75" customHeight="1">
      <c r="L839" s="18"/>
    </row>
    <row r="840" ht="15.75" customHeight="1">
      <c r="L840" s="18"/>
    </row>
    <row r="841" ht="15.75" customHeight="1">
      <c r="L841" s="18"/>
    </row>
    <row r="842" ht="15.75" customHeight="1">
      <c r="L842" s="18"/>
    </row>
    <row r="843" ht="15.75" customHeight="1">
      <c r="L843" s="18"/>
    </row>
    <row r="844" ht="15.75" customHeight="1">
      <c r="L844" s="18"/>
    </row>
    <row r="845" ht="15.75" customHeight="1">
      <c r="L845" s="18"/>
    </row>
    <row r="846" ht="15.75" customHeight="1">
      <c r="L846" s="18"/>
    </row>
    <row r="847" ht="15.75" customHeight="1">
      <c r="L847" s="18"/>
    </row>
    <row r="848" ht="15.75" customHeight="1">
      <c r="L848" s="18"/>
    </row>
    <row r="849" ht="15.75" customHeight="1">
      <c r="L849" s="18"/>
    </row>
    <row r="850" ht="15.75" customHeight="1">
      <c r="L850" s="18"/>
    </row>
    <row r="851" ht="15.75" customHeight="1">
      <c r="L851" s="18"/>
    </row>
    <row r="852" ht="15.75" customHeight="1">
      <c r="L852" s="18"/>
    </row>
    <row r="853" ht="15.75" customHeight="1">
      <c r="L853" s="18"/>
    </row>
    <row r="854" ht="15.75" customHeight="1">
      <c r="L854" s="18"/>
    </row>
    <row r="855" ht="15.75" customHeight="1">
      <c r="L855" s="18"/>
    </row>
    <row r="856" ht="15.75" customHeight="1">
      <c r="L856" s="18"/>
    </row>
    <row r="857" ht="15.75" customHeight="1">
      <c r="L857" s="18"/>
    </row>
    <row r="858" ht="15.75" customHeight="1">
      <c r="L858" s="18"/>
    </row>
    <row r="859" ht="15.75" customHeight="1">
      <c r="L859" s="18"/>
    </row>
    <row r="860" ht="15.75" customHeight="1">
      <c r="L860" s="18"/>
    </row>
    <row r="861" ht="15.75" customHeight="1">
      <c r="L861" s="18"/>
    </row>
    <row r="862" ht="15.75" customHeight="1">
      <c r="L862" s="18"/>
    </row>
    <row r="863" ht="15.75" customHeight="1">
      <c r="L863" s="18"/>
    </row>
    <row r="864" ht="15.75" customHeight="1">
      <c r="L864" s="18"/>
    </row>
    <row r="865" ht="15.75" customHeight="1">
      <c r="L865" s="18"/>
    </row>
    <row r="866" ht="15.75" customHeight="1">
      <c r="L866" s="18"/>
    </row>
    <row r="867" ht="15.75" customHeight="1">
      <c r="L867" s="18"/>
    </row>
    <row r="868" ht="15.75" customHeight="1">
      <c r="L868" s="18"/>
    </row>
    <row r="869" ht="15.75" customHeight="1">
      <c r="L869" s="18"/>
    </row>
    <row r="870" ht="15.75" customHeight="1">
      <c r="L870" s="18"/>
    </row>
    <row r="871" ht="15.75" customHeight="1">
      <c r="L871" s="18"/>
    </row>
    <row r="872" ht="15.75" customHeight="1">
      <c r="L872" s="18"/>
    </row>
    <row r="873" ht="15.75" customHeight="1">
      <c r="L873" s="18"/>
    </row>
    <row r="874" ht="15.75" customHeight="1">
      <c r="L874" s="18"/>
    </row>
    <row r="875" ht="15.75" customHeight="1">
      <c r="L875" s="18"/>
    </row>
    <row r="876" ht="15.75" customHeight="1">
      <c r="L876" s="18"/>
    </row>
    <row r="877" ht="15.75" customHeight="1">
      <c r="L877" s="18"/>
    </row>
    <row r="878" ht="15.75" customHeight="1">
      <c r="L878" s="18"/>
    </row>
    <row r="879" ht="15.75" customHeight="1">
      <c r="L879" s="18"/>
    </row>
    <row r="880" ht="15.75" customHeight="1">
      <c r="L880" s="18"/>
    </row>
    <row r="881" ht="15.75" customHeight="1">
      <c r="L881" s="18"/>
    </row>
    <row r="882" ht="15.75" customHeight="1">
      <c r="L882" s="18"/>
    </row>
    <row r="883" ht="15.75" customHeight="1">
      <c r="L883" s="18"/>
    </row>
    <row r="884" ht="15.75" customHeight="1">
      <c r="L884" s="18"/>
    </row>
    <row r="885" ht="15.75" customHeight="1">
      <c r="L885" s="18"/>
    </row>
    <row r="886" ht="15.75" customHeight="1">
      <c r="L886" s="18"/>
    </row>
    <row r="887" ht="15.75" customHeight="1">
      <c r="L887" s="18"/>
    </row>
    <row r="888" ht="15.75" customHeight="1">
      <c r="L888" s="18"/>
    </row>
    <row r="889" ht="15.75" customHeight="1">
      <c r="L889" s="18"/>
    </row>
    <row r="890" ht="15.75" customHeight="1">
      <c r="L890" s="18"/>
    </row>
    <row r="891" ht="15.75" customHeight="1">
      <c r="L891" s="18"/>
    </row>
    <row r="892" ht="15.75" customHeight="1">
      <c r="L892" s="18"/>
    </row>
    <row r="893" ht="15.75" customHeight="1">
      <c r="L893" s="18"/>
    </row>
    <row r="894" ht="15.75" customHeight="1">
      <c r="L894" s="18"/>
    </row>
    <row r="895" ht="15.75" customHeight="1">
      <c r="L895" s="18"/>
    </row>
    <row r="896" ht="15.75" customHeight="1">
      <c r="L896" s="18"/>
    </row>
    <row r="897" ht="15.75" customHeight="1">
      <c r="L897" s="18"/>
    </row>
    <row r="898" ht="15.75" customHeight="1">
      <c r="L898" s="18"/>
    </row>
    <row r="899" ht="15.75" customHeight="1">
      <c r="L899" s="18"/>
    </row>
    <row r="900" ht="15.75" customHeight="1">
      <c r="L900" s="18"/>
    </row>
    <row r="901" ht="15.75" customHeight="1">
      <c r="L901" s="18"/>
    </row>
    <row r="902" ht="15.75" customHeight="1">
      <c r="L902" s="18"/>
    </row>
    <row r="903" ht="15.75" customHeight="1">
      <c r="L903" s="18"/>
    </row>
    <row r="904" ht="15.75" customHeight="1">
      <c r="L904" s="18"/>
    </row>
    <row r="905" ht="15.75" customHeight="1">
      <c r="L905" s="18"/>
    </row>
    <row r="906" ht="15.75" customHeight="1">
      <c r="L906" s="18"/>
    </row>
    <row r="907" ht="15.75" customHeight="1">
      <c r="L907" s="18"/>
    </row>
    <row r="908" ht="15.75" customHeight="1">
      <c r="L908" s="18"/>
    </row>
    <row r="909" ht="15.75" customHeight="1">
      <c r="L909" s="18"/>
    </row>
    <row r="910" ht="15.75" customHeight="1">
      <c r="L910" s="18"/>
    </row>
    <row r="911" ht="15.75" customHeight="1">
      <c r="L911" s="18"/>
    </row>
    <row r="912" ht="15.75" customHeight="1">
      <c r="L912" s="18"/>
    </row>
    <row r="913" ht="15.75" customHeight="1">
      <c r="L913" s="18"/>
    </row>
    <row r="914" ht="15.75" customHeight="1">
      <c r="L914" s="18"/>
    </row>
    <row r="915" ht="15.75" customHeight="1">
      <c r="L915" s="18"/>
    </row>
    <row r="916" ht="15.75" customHeight="1">
      <c r="L916" s="18"/>
    </row>
    <row r="917" ht="15.75" customHeight="1">
      <c r="L917" s="18"/>
    </row>
    <row r="918" ht="15.75" customHeight="1">
      <c r="L918" s="18"/>
    </row>
    <row r="919" ht="15.75" customHeight="1">
      <c r="L919" s="18"/>
    </row>
    <row r="920" ht="15.75" customHeight="1">
      <c r="L920" s="18"/>
    </row>
    <row r="921" ht="15.75" customHeight="1">
      <c r="L921" s="18"/>
    </row>
    <row r="922" ht="15.75" customHeight="1">
      <c r="L922" s="18"/>
    </row>
    <row r="923" ht="15.75" customHeight="1">
      <c r="L923" s="18"/>
    </row>
    <row r="924" ht="15.75" customHeight="1">
      <c r="L924" s="18"/>
    </row>
    <row r="925" ht="15.75" customHeight="1">
      <c r="L925" s="18"/>
    </row>
    <row r="926" ht="15.75" customHeight="1">
      <c r="L926" s="18"/>
    </row>
    <row r="927" ht="15.75" customHeight="1">
      <c r="L927" s="18"/>
    </row>
    <row r="928" ht="15.75" customHeight="1">
      <c r="L928" s="18"/>
    </row>
    <row r="929" ht="15.75" customHeight="1">
      <c r="L929" s="18"/>
    </row>
    <row r="930" ht="15.75" customHeight="1">
      <c r="L930" s="18"/>
    </row>
    <row r="931" ht="15.75" customHeight="1">
      <c r="L931" s="18"/>
    </row>
    <row r="932" ht="15.75" customHeight="1">
      <c r="L932" s="18"/>
    </row>
    <row r="933" ht="15.75" customHeight="1">
      <c r="L933" s="18"/>
    </row>
    <row r="934" ht="15.75" customHeight="1">
      <c r="L934" s="18"/>
    </row>
    <row r="935" ht="15.75" customHeight="1">
      <c r="L935" s="18"/>
    </row>
    <row r="936" ht="15.75" customHeight="1">
      <c r="L936" s="18"/>
    </row>
    <row r="937" ht="15.75" customHeight="1">
      <c r="L937" s="18"/>
    </row>
    <row r="938" ht="15.75" customHeight="1">
      <c r="L938" s="18"/>
    </row>
    <row r="939" ht="15.75" customHeight="1">
      <c r="L939" s="18"/>
    </row>
    <row r="940" ht="15.75" customHeight="1">
      <c r="L940" s="18"/>
    </row>
    <row r="941" ht="15.75" customHeight="1">
      <c r="L941" s="18"/>
    </row>
    <row r="942" ht="15.75" customHeight="1">
      <c r="L942" s="18"/>
    </row>
    <row r="943" ht="15.75" customHeight="1">
      <c r="L943" s="18"/>
    </row>
    <row r="944" ht="15.75" customHeight="1">
      <c r="L944" s="18"/>
    </row>
    <row r="945" ht="15.75" customHeight="1">
      <c r="L945" s="18"/>
    </row>
    <row r="946" ht="15.75" customHeight="1">
      <c r="L946" s="18"/>
    </row>
    <row r="947" ht="15.75" customHeight="1">
      <c r="L947" s="18"/>
    </row>
    <row r="948" ht="15.75" customHeight="1">
      <c r="L948" s="18"/>
    </row>
    <row r="949" ht="15.75" customHeight="1">
      <c r="L949" s="18"/>
    </row>
    <row r="950" ht="15.75" customHeight="1">
      <c r="L950" s="18"/>
    </row>
    <row r="951" ht="15.75" customHeight="1">
      <c r="L951" s="18"/>
    </row>
    <row r="952" ht="15.75" customHeight="1">
      <c r="L952" s="18"/>
    </row>
    <row r="953" ht="15.75" customHeight="1">
      <c r="L953" s="18"/>
    </row>
    <row r="954" ht="15.75" customHeight="1">
      <c r="L954" s="18"/>
    </row>
    <row r="955" ht="15.75" customHeight="1">
      <c r="L955" s="18"/>
    </row>
    <row r="956" ht="15.75" customHeight="1">
      <c r="L956" s="18"/>
    </row>
    <row r="957" ht="15.75" customHeight="1">
      <c r="L957" s="18"/>
    </row>
    <row r="958" ht="15.75" customHeight="1">
      <c r="L958" s="18"/>
    </row>
    <row r="959" ht="15.75" customHeight="1">
      <c r="L959" s="18"/>
    </row>
    <row r="960" ht="15.75" customHeight="1">
      <c r="L960" s="18"/>
    </row>
    <row r="961" ht="15.75" customHeight="1">
      <c r="L961" s="18"/>
    </row>
    <row r="962" ht="15.75" customHeight="1">
      <c r="L962" s="18"/>
    </row>
    <row r="963" ht="15.75" customHeight="1">
      <c r="L963" s="18"/>
    </row>
    <row r="964" ht="15.75" customHeight="1">
      <c r="L964" s="18"/>
    </row>
    <row r="965" ht="15.75" customHeight="1">
      <c r="L965" s="18"/>
    </row>
    <row r="966" ht="15.75" customHeight="1">
      <c r="L966" s="18"/>
    </row>
    <row r="967" ht="15.75" customHeight="1">
      <c r="L967" s="18"/>
    </row>
    <row r="968" ht="15.75" customHeight="1">
      <c r="L968" s="18"/>
    </row>
    <row r="969" ht="15.75" customHeight="1">
      <c r="L969" s="18"/>
    </row>
    <row r="970" ht="15.75" customHeight="1">
      <c r="L970" s="18"/>
    </row>
    <row r="971" ht="15.75" customHeight="1">
      <c r="L971" s="18"/>
    </row>
    <row r="972" ht="15.75" customHeight="1">
      <c r="L972" s="18"/>
    </row>
    <row r="973" ht="15.75" customHeight="1">
      <c r="L973" s="18"/>
    </row>
    <row r="974" ht="15.75" customHeight="1">
      <c r="L974" s="18"/>
    </row>
    <row r="975" ht="15.75" customHeight="1">
      <c r="L975" s="18"/>
    </row>
    <row r="976" ht="15.75" customHeight="1">
      <c r="L976" s="18"/>
    </row>
    <row r="977" ht="15.75" customHeight="1">
      <c r="L977" s="18"/>
    </row>
    <row r="978" ht="15.75" customHeight="1">
      <c r="L978" s="18"/>
    </row>
    <row r="979" ht="15.75" customHeight="1">
      <c r="L979" s="18"/>
    </row>
    <row r="980" ht="15.75" customHeight="1">
      <c r="L980" s="18"/>
    </row>
    <row r="981" ht="15.75" customHeight="1">
      <c r="L981" s="18"/>
    </row>
    <row r="982" ht="15.75" customHeight="1">
      <c r="L982" s="18"/>
    </row>
    <row r="983" ht="15.75" customHeight="1">
      <c r="L983" s="18"/>
    </row>
    <row r="984" ht="15.75" customHeight="1">
      <c r="L984" s="18"/>
    </row>
    <row r="985" ht="15.75" customHeight="1">
      <c r="L985" s="18"/>
    </row>
    <row r="986" ht="15.75" customHeight="1">
      <c r="L986" s="18"/>
    </row>
    <row r="987" ht="15.75" customHeight="1">
      <c r="L987" s="18"/>
    </row>
    <row r="988" ht="15.75" customHeight="1">
      <c r="L988" s="18"/>
    </row>
    <row r="989" ht="15.75" customHeight="1">
      <c r="L989" s="18"/>
    </row>
    <row r="990" ht="15.75" customHeight="1">
      <c r="L990" s="18"/>
    </row>
    <row r="991" ht="15.75" customHeight="1">
      <c r="L991" s="18"/>
    </row>
    <row r="992" ht="15.75" customHeight="1">
      <c r="L992" s="18"/>
    </row>
    <row r="993" ht="15.75" customHeight="1">
      <c r="L993" s="18"/>
    </row>
    <row r="994" ht="15.75" customHeight="1">
      <c r="L994" s="18"/>
    </row>
    <row r="995" ht="15.75" customHeight="1">
      <c r="L995" s="18"/>
    </row>
    <row r="996" ht="15.75" customHeight="1">
      <c r="L996" s="18"/>
    </row>
    <row r="997" ht="15.75" customHeight="1">
      <c r="L997" s="18"/>
    </row>
  </sheetData>
  <conditionalFormatting sqref="A2:L288">
    <cfRule type="expression" dxfId="0" priority="1" stopIfTrue="1">
      <formula>COUNTIF(ARRAYFORMULA($A$2:$A$288&amp;$B$2:$B$288&amp;$C$2:$C$288&amp;$D$2:$D$288&amp;$E$2:$E$288&amp;$F$2:$F$288&amp;$G$2:$G$288&amp;$L$2:$L$288), $A2&amp;$B2&amp;$C2&amp;$D2&amp;$E2&amp;$F2&amp;$G2&amp;$L2)&gt;1</formula>
    </cfRule>
  </conditionalFormatting>
  <hyperlinks>
    <hyperlink r:id="rId1" ref="D283"/>
    <hyperlink r:id="rId2" ref="D301"/>
    <hyperlink r:id="rId3" ref="D331"/>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3" t="s">
        <v>751</v>
      </c>
      <c r="B1" s="13" t="s">
        <v>752</v>
      </c>
    </row>
    <row r="2">
      <c r="A2" s="13" t="s">
        <v>753</v>
      </c>
      <c r="B2" s="13" t="s">
        <v>754</v>
      </c>
    </row>
    <row r="3">
      <c r="A3" s="13" t="s">
        <v>755</v>
      </c>
      <c r="B3" s="13" t="s">
        <v>756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19.86"/>
    <col customWidth="1" min="3" max="3" width="19.71"/>
    <col customWidth="1" min="4" max="4" width="12.57"/>
    <col customWidth="1" min="5" max="26" width="8.71"/>
  </cols>
  <sheetData>
    <row r="1">
      <c r="A1" s="9" t="s">
        <v>757</v>
      </c>
      <c r="B1" s="9" t="s">
        <v>758</v>
      </c>
      <c r="C1" s="9" t="s">
        <v>759</v>
      </c>
      <c r="D1" s="9" t="s">
        <v>7</v>
      </c>
    </row>
    <row r="2">
      <c r="A2" s="9" t="s">
        <v>760</v>
      </c>
      <c r="B2" s="9" t="s">
        <v>761</v>
      </c>
      <c r="C2" s="9" t="s">
        <v>761</v>
      </c>
      <c r="D2" s="9" t="s">
        <v>711</v>
      </c>
    </row>
    <row r="3">
      <c r="A3" s="9" t="s">
        <v>762</v>
      </c>
      <c r="B3" s="9" t="s">
        <v>763</v>
      </c>
      <c r="C3" s="9" t="s">
        <v>763</v>
      </c>
      <c r="D3" s="9" t="s">
        <v>711</v>
      </c>
    </row>
    <row r="4">
      <c r="A4" s="9" t="s">
        <v>764</v>
      </c>
      <c r="B4" s="9" t="s">
        <v>765</v>
      </c>
      <c r="C4" s="9" t="s">
        <v>766</v>
      </c>
      <c r="D4" s="9" t="s">
        <v>711</v>
      </c>
    </row>
    <row r="5">
      <c r="A5" s="9" t="s">
        <v>767</v>
      </c>
      <c r="B5" s="9" t="s">
        <v>768</v>
      </c>
      <c r="C5" s="9" t="s">
        <v>766</v>
      </c>
      <c r="D5" s="9" t="s">
        <v>711</v>
      </c>
    </row>
    <row r="6">
      <c r="A6" s="9" t="s">
        <v>769</v>
      </c>
      <c r="B6" s="9" t="s">
        <v>770</v>
      </c>
      <c r="C6" s="9" t="s">
        <v>771</v>
      </c>
      <c r="D6" s="9" t="s">
        <v>711</v>
      </c>
    </row>
    <row r="7">
      <c r="A7" s="9" t="s">
        <v>772</v>
      </c>
      <c r="B7" s="9" t="s">
        <v>773</v>
      </c>
      <c r="C7" s="9" t="s">
        <v>774</v>
      </c>
      <c r="D7" s="9" t="s">
        <v>711</v>
      </c>
    </row>
    <row r="8">
      <c r="A8" s="9" t="s">
        <v>775</v>
      </c>
      <c r="B8" s="9" t="s">
        <v>773</v>
      </c>
      <c r="C8" s="9" t="s">
        <v>774</v>
      </c>
      <c r="D8" s="9" t="s">
        <v>711</v>
      </c>
    </row>
    <row r="9">
      <c r="A9" s="9" t="s">
        <v>776</v>
      </c>
      <c r="B9" s="9" t="s">
        <v>777</v>
      </c>
      <c r="C9" s="9" t="s">
        <v>778</v>
      </c>
      <c r="D9" s="9" t="s">
        <v>711</v>
      </c>
    </row>
    <row r="10">
      <c r="A10" s="9" t="s">
        <v>779</v>
      </c>
      <c r="B10" s="9" t="s">
        <v>780</v>
      </c>
      <c r="C10" s="9" t="s">
        <v>781</v>
      </c>
      <c r="D10" s="9" t="s">
        <v>711</v>
      </c>
    </row>
    <row r="11">
      <c r="A11" s="9" t="s">
        <v>782</v>
      </c>
      <c r="B11" s="9" t="s">
        <v>783</v>
      </c>
      <c r="C11" s="9" t="s">
        <v>783</v>
      </c>
      <c r="D11" s="9" t="s">
        <v>711</v>
      </c>
    </row>
    <row r="12">
      <c r="A12" s="9" t="s">
        <v>784</v>
      </c>
      <c r="B12" s="9" t="s">
        <v>785</v>
      </c>
      <c r="C12" s="9" t="s">
        <v>785</v>
      </c>
      <c r="D12" s="9" t="s">
        <v>711</v>
      </c>
    </row>
    <row r="13">
      <c r="A13" s="9" t="s">
        <v>786</v>
      </c>
      <c r="B13" s="9" t="s">
        <v>787</v>
      </c>
      <c r="C13" s="9" t="s">
        <v>787</v>
      </c>
      <c r="D13" s="9" t="s">
        <v>711</v>
      </c>
    </row>
    <row r="14">
      <c r="A14" s="9" t="s">
        <v>788</v>
      </c>
      <c r="B14" s="9" t="s">
        <v>789</v>
      </c>
      <c r="C14" s="9" t="s">
        <v>790</v>
      </c>
      <c r="D14" s="9" t="s">
        <v>711</v>
      </c>
    </row>
    <row r="15">
      <c r="A15" s="9" t="s">
        <v>791</v>
      </c>
      <c r="B15" s="9" t="s">
        <v>792</v>
      </c>
      <c r="C15" s="9" t="s">
        <v>793</v>
      </c>
      <c r="D15" s="9" t="s">
        <v>711</v>
      </c>
    </row>
    <row r="16">
      <c r="A16" s="9" t="s">
        <v>794</v>
      </c>
      <c r="B16" s="9" t="s">
        <v>795</v>
      </c>
      <c r="C16" s="9" t="s">
        <v>796</v>
      </c>
      <c r="D16" s="9" t="s">
        <v>711</v>
      </c>
    </row>
    <row r="17">
      <c r="A17" s="9" t="s">
        <v>797</v>
      </c>
      <c r="B17" s="9" t="s">
        <v>798</v>
      </c>
      <c r="C17" s="9" t="s">
        <v>798</v>
      </c>
      <c r="D17" s="9" t="s">
        <v>711</v>
      </c>
    </row>
    <row r="18">
      <c r="A18" s="9" t="s">
        <v>799</v>
      </c>
      <c r="B18" s="9" t="s">
        <v>800</v>
      </c>
      <c r="C18" s="9" t="s">
        <v>800</v>
      </c>
      <c r="D18" s="9" t="s">
        <v>711</v>
      </c>
    </row>
    <row r="19">
      <c r="A19" s="9" t="s">
        <v>801</v>
      </c>
      <c r="B19" s="9" t="s">
        <v>802</v>
      </c>
      <c r="C19" s="9" t="s">
        <v>802</v>
      </c>
      <c r="D19" s="9" t="s">
        <v>711</v>
      </c>
    </row>
    <row r="20">
      <c r="A20" s="9" t="s">
        <v>803</v>
      </c>
      <c r="B20" s="9" t="s">
        <v>33</v>
      </c>
      <c r="C20" s="9" t="s">
        <v>33</v>
      </c>
      <c r="D20" s="9" t="s">
        <v>653</v>
      </c>
    </row>
    <row r="21" ht="15.75" customHeight="1">
      <c r="A21" s="9" t="s">
        <v>197</v>
      </c>
      <c r="B21" s="9" t="s">
        <v>804</v>
      </c>
      <c r="C21" s="9" t="s">
        <v>33</v>
      </c>
      <c r="D21" s="9" t="s">
        <v>653</v>
      </c>
    </row>
    <row r="22" ht="15.75" customHeight="1">
      <c r="A22" s="9" t="s">
        <v>805</v>
      </c>
      <c r="B22" s="9" t="s">
        <v>68</v>
      </c>
      <c r="C22" s="9" t="s">
        <v>33</v>
      </c>
      <c r="D22" s="9" t="s">
        <v>653</v>
      </c>
    </row>
    <row r="23" ht="15.75" customHeight="1">
      <c r="A23" s="9" t="s">
        <v>806</v>
      </c>
      <c r="B23" s="9" t="s">
        <v>94</v>
      </c>
      <c r="C23" s="9" t="s">
        <v>94</v>
      </c>
      <c r="D23" s="9" t="s">
        <v>653</v>
      </c>
    </row>
    <row r="24" ht="15.75" customHeight="1">
      <c r="A24" s="9" t="s">
        <v>807</v>
      </c>
      <c r="B24" s="9" t="s">
        <v>65</v>
      </c>
      <c r="C24" s="9" t="s">
        <v>94</v>
      </c>
      <c r="D24" s="9" t="s">
        <v>653</v>
      </c>
    </row>
    <row r="25" ht="15.75" customHeight="1">
      <c r="A25" s="9" t="s">
        <v>808</v>
      </c>
      <c r="B25" s="9" t="s">
        <v>809</v>
      </c>
      <c r="C25" s="9" t="s">
        <v>809</v>
      </c>
      <c r="D25" s="9" t="s">
        <v>653</v>
      </c>
    </row>
    <row r="26" ht="15.75" customHeight="1">
      <c r="A26" s="9" t="s">
        <v>810</v>
      </c>
      <c r="B26" s="9" t="s">
        <v>811</v>
      </c>
      <c r="C26" s="9" t="s">
        <v>811</v>
      </c>
      <c r="D26" s="9" t="s">
        <v>653</v>
      </c>
    </row>
    <row r="27" ht="15.75" customHeight="1">
      <c r="A27" s="9" t="s">
        <v>812</v>
      </c>
      <c r="B27" s="9" t="s">
        <v>813</v>
      </c>
      <c r="C27" s="9" t="s">
        <v>814</v>
      </c>
      <c r="D27" s="9" t="s">
        <v>663</v>
      </c>
    </row>
    <row r="28" ht="15.75" customHeight="1">
      <c r="A28" s="9" t="s">
        <v>815</v>
      </c>
      <c r="B28" s="9" t="s">
        <v>816</v>
      </c>
      <c r="C28" s="9" t="s">
        <v>816</v>
      </c>
      <c r="D28" s="9" t="s">
        <v>663</v>
      </c>
    </row>
    <row r="29" ht="15.75" customHeight="1">
      <c r="A29" s="9" t="s">
        <v>817</v>
      </c>
      <c r="B29" s="9" t="s">
        <v>818</v>
      </c>
      <c r="C29" s="9" t="s">
        <v>818</v>
      </c>
      <c r="D29" s="9" t="s">
        <v>663</v>
      </c>
    </row>
    <row r="30" ht="15.75" customHeight="1">
      <c r="A30" s="9" t="s">
        <v>819</v>
      </c>
      <c r="B30" s="9" t="s">
        <v>820</v>
      </c>
      <c r="C30" s="9" t="s">
        <v>821</v>
      </c>
      <c r="D30" s="9" t="s">
        <v>663</v>
      </c>
    </row>
    <row r="31" ht="15.75" customHeight="1">
      <c r="A31" s="9" t="s">
        <v>822</v>
      </c>
      <c r="B31" s="9" t="s">
        <v>823</v>
      </c>
      <c r="C31" s="9" t="s">
        <v>823</v>
      </c>
      <c r="D31" s="9" t="s">
        <v>663</v>
      </c>
    </row>
    <row r="32" ht="15.75" customHeight="1">
      <c r="A32" s="9" t="s">
        <v>824</v>
      </c>
      <c r="B32" s="9" t="s">
        <v>825</v>
      </c>
      <c r="C32" s="9" t="s">
        <v>825</v>
      </c>
      <c r="D32" s="9" t="s">
        <v>663</v>
      </c>
    </row>
    <row r="33" ht="15.75" customHeight="1">
      <c r="A33" s="9" t="s">
        <v>826</v>
      </c>
      <c r="B33" s="9" t="s">
        <v>827</v>
      </c>
      <c r="C33" s="9" t="s">
        <v>827</v>
      </c>
      <c r="D33" s="9" t="s">
        <v>663</v>
      </c>
    </row>
    <row r="34" ht="15.75" customHeight="1">
      <c r="A34" s="9" t="s">
        <v>828</v>
      </c>
      <c r="B34" s="9" t="s">
        <v>829</v>
      </c>
      <c r="C34" s="9" t="s">
        <v>830</v>
      </c>
      <c r="D34" s="9" t="s">
        <v>663</v>
      </c>
    </row>
    <row r="35" ht="15.75" customHeight="1">
      <c r="A35" s="9" t="s">
        <v>831</v>
      </c>
      <c r="B35" s="9" t="s">
        <v>832</v>
      </c>
      <c r="C35" s="9" t="s">
        <v>832</v>
      </c>
      <c r="D35" s="9" t="s">
        <v>663</v>
      </c>
    </row>
    <row r="36" ht="15.75" customHeight="1">
      <c r="A36" s="9" t="s">
        <v>833</v>
      </c>
      <c r="B36" s="9" t="s">
        <v>834</v>
      </c>
      <c r="C36" s="9" t="s">
        <v>834</v>
      </c>
      <c r="D36" s="9" t="s">
        <v>663</v>
      </c>
    </row>
    <row r="37" ht="15.75" customHeight="1">
      <c r="A37" s="9" t="s">
        <v>835</v>
      </c>
      <c r="B37" s="9" t="s">
        <v>836</v>
      </c>
      <c r="C37" s="9" t="s">
        <v>836</v>
      </c>
      <c r="D37" s="9" t="s">
        <v>663</v>
      </c>
    </row>
    <row r="38" ht="15.75" customHeight="1">
      <c r="A38" s="9" t="s">
        <v>837</v>
      </c>
      <c r="B38" s="9" t="s">
        <v>838</v>
      </c>
      <c r="C38" s="9" t="s">
        <v>838</v>
      </c>
      <c r="D38" s="9" t="s">
        <v>663</v>
      </c>
    </row>
    <row r="39" ht="15.75" customHeight="1">
      <c r="A39" s="9" t="s">
        <v>839</v>
      </c>
      <c r="B39" s="9" t="s">
        <v>840</v>
      </c>
      <c r="C39" s="9" t="s">
        <v>840</v>
      </c>
      <c r="D39" s="9" t="s">
        <v>663</v>
      </c>
    </row>
    <row r="40" ht="15.75" customHeight="1">
      <c r="A40" s="9" t="s">
        <v>841</v>
      </c>
      <c r="B40" s="9" t="s">
        <v>842</v>
      </c>
      <c r="C40" s="9" t="s">
        <v>842</v>
      </c>
      <c r="D40" s="9" t="s">
        <v>663</v>
      </c>
    </row>
    <row r="41" ht="15.75" customHeight="1">
      <c r="A41" s="9" t="s">
        <v>843</v>
      </c>
      <c r="B41" s="9" t="s">
        <v>844</v>
      </c>
      <c r="C41" s="9" t="s">
        <v>844</v>
      </c>
      <c r="D41" s="9" t="s">
        <v>663</v>
      </c>
    </row>
    <row r="42" ht="15.75" customHeight="1">
      <c r="A42" s="9" t="s">
        <v>845</v>
      </c>
      <c r="B42" s="9" t="s">
        <v>846</v>
      </c>
      <c r="C42" s="9" t="s">
        <v>846</v>
      </c>
      <c r="D42" s="9" t="s">
        <v>663</v>
      </c>
    </row>
    <row r="43" ht="15.75" customHeight="1">
      <c r="A43" s="9" t="s">
        <v>847</v>
      </c>
      <c r="B43" s="9" t="s">
        <v>848</v>
      </c>
      <c r="C43" s="9" t="s">
        <v>848</v>
      </c>
      <c r="D43" s="9" t="s">
        <v>663</v>
      </c>
    </row>
    <row r="44" ht="15.75" customHeight="1">
      <c r="A44" s="9" t="s">
        <v>849</v>
      </c>
      <c r="B44" s="9" t="s">
        <v>850</v>
      </c>
      <c r="C44" s="9" t="s">
        <v>850</v>
      </c>
      <c r="D44" s="9" t="s">
        <v>663</v>
      </c>
    </row>
    <row r="45" ht="15.75" customHeight="1">
      <c r="A45" s="9" t="s">
        <v>851</v>
      </c>
      <c r="B45" s="9" t="s">
        <v>852</v>
      </c>
      <c r="C45" s="9" t="s">
        <v>852</v>
      </c>
      <c r="D45" s="9" t="s">
        <v>663</v>
      </c>
    </row>
    <row r="46" ht="15.75" customHeight="1">
      <c r="A46" s="9" t="s">
        <v>853</v>
      </c>
      <c r="B46" s="9" t="s">
        <v>854</v>
      </c>
      <c r="C46" s="9" t="s">
        <v>854</v>
      </c>
      <c r="D46" s="9" t="s">
        <v>663</v>
      </c>
    </row>
    <row r="47" ht="15.75" customHeight="1">
      <c r="A47" s="9" t="s">
        <v>855</v>
      </c>
      <c r="B47" s="9" t="s">
        <v>856</v>
      </c>
      <c r="C47" s="9" t="s">
        <v>856</v>
      </c>
      <c r="D47" s="9" t="s">
        <v>663</v>
      </c>
    </row>
    <row r="48" ht="15.75" customHeight="1">
      <c r="A48" s="9" t="s">
        <v>857</v>
      </c>
      <c r="B48" s="9" t="s">
        <v>858</v>
      </c>
      <c r="C48" s="9" t="s">
        <v>858</v>
      </c>
      <c r="D48" s="9" t="s">
        <v>663</v>
      </c>
    </row>
    <row r="49" ht="15.75" customHeight="1">
      <c r="A49" s="9" t="s">
        <v>859</v>
      </c>
      <c r="B49" s="9" t="s">
        <v>860</v>
      </c>
      <c r="C49" s="9" t="s">
        <v>861</v>
      </c>
      <c r="D49" s="9" t="s">
        <v>672</v>
      </c>
    </row>
    <row r="50" ht="15.75" customHeight="1">
      <c r="A50" s="9" t="s">
        <v>862</v>
      </c>
      <c r="B50" s="9" t="s">
        <v>863</v>
      </c>
      <c r="C50" s="9" t="s">
        <v>864</v>
      </c>
      <c r="D50" s="9" t="s">
        <v>672</v>
      </c>
    </row>
    <row r="51" ht="15.75" customHeight="1">
      <c r="A51" s="9" t="s">
        <v>865</v>
      </c>
      <c r="B51" s="9" t="s">
        <v>866</v>
      </c>
      <c r="C51" s="9" t="s">
        <v>867</v>
      </c>
      <c r="D51" s="9" t="s">
        <v>672</v>
      </c>
    </row>
    <row r="52" ht="15.75" customHeight="1">
      <c r="A52" s="9" t="s">
        <v>868</v>
      </c>
      <c r="B52" s="9" t="s">
        <v>869</v>
      </c>
      <c r="C52" s="9" t="s">
        <v>869</v>
      </c>
      <c r="D52" s="9" t="s">
        <v>672</v>
      </c>
    </row>
    <row r="53" ht="15.75" customHeight="1">
      <c r="A53" s="9" t="s">
        <v>870</v>
      </c>
      <c r="B53" s="9" t="s">
        <v>871</v>
      </c>
      <c r="C53" s="9" t="s">
        <v>872</v>
      </c>
      <c r="D53" s="9" t="s">
        <v>672</v>
      </c>
    </row>
    <row r="54" ht="15.75" customHeight="1">
      <c r="A54" s="9" t="s">
        <v>873</v>
      </c>
      <c r="B54" s="9" t="s">
        <v>874</v>
      </c>
      <c r="C54" s="9" t="s">
        <v>874</v>
      </c>
      <c r="D54" s="9" t="s">
        <v>672</v>
      </c>
    </row>
    <row r="55" ht="15.75" customHeight="1">
      <c r="A55" s="9" t="s">
        <v>875</v>
      </c>
      <c r="B55" s="9" t="s">
        <v>876</v>
      </c>
      <c r="C55" s="9" t="s">
        <v>877</v>
      </c>
      <c r="D55" s="9" t="s">
        <v>672</v>
      </c>
    </row>
    <row r="56" ht="15.75" customHeight="1">
      <c r="A56" s="9" t="s">
        <v>878</v>
      </c>
      <c r="B56" s="9" t="s">
        <v>879</v>
      </c>
      <c r="C56" s="9" t="s">
        <v>880</v>
      </c>
      <c r="D56" s="9" t="s">
        <v>672</v>
      </c>
    </row>
    <row r="57" ht="15.75" customHeight="1">
      <c r="A57" s="9" t="s">
        <v>881</v>
      </c>
      <c r="B57" s="9" t="s">
        <v>882</v>
      </c>
      <c r="C57" s="9" t="s">
        <v>883</v>
      </c>
      <c r="D57" s="9" t="s">
        <v>672</v>
      </c>
    </row>
    <row r="58" ht="15.75" customHeight="1">
      <c r="A58" s="9" t="s">
        <v>884</v>
      </c>
      <c r="B58" s="9" t="s">
        <v>885</v>
      </c>
      <c r="C58" s="9" t="s">
        <v>885</v>
      </c>
      <c r="D58" s="9" t="s">
        <v>648</v>
      </c>
    </row>
    <row r="59" ht="15.75" customHeight="1">
      <c r="A59" s="9" t="s">
        <v>886</v>
      </c>
      <c r="B59" s="9" t="s">
        <v>887</v>
      </c>
      <c r="C59" s="9" t="s">
        <v>887</v>
      </c>
      <c r="D59" s="9" t="s">
        <v>648</v>
      </c>
    </row>
    <row r="60" ht="15.75" customHeight="1">
      <c r="A60" s="9" t="s">
        <v>888</v>
      </c>
      <c r="B60" s="9" t="s">
        <v>421</v>
      </c>
      <c r="C60" s="9" t="s">
        <v>421</v>
      </c>
      <c r="D60" s="9" t="s">
        <v>648</v>
      </c>
    </row>
    <row r="61" ht="15.75" customHeight="1">
      <c r="A61" s="9" t="s">
        <v>889</v>
      </c>
      <c r="B61" s="9" t="s">
        <v>890</v>
      </c>
      <c r="C61" s="9" t="s">
        <v>891</v>
      </c>
      <c r="D61" s="9" t="s">
        <v>648</v>
      </c>
    </row>
    <row r="62" ht="15.75" customHeight="1">
      <c r="A62" s="9" t="s">
        <v>892</v>
      </c>
      <c r="B62" s="9" t="s">
        <v>893</v>
      </c>
      <c r="C62" s="9" t="s">
        <v>894</v>
      </c>
      <c r="D62" s="9" t="s">
        <v>648</v>
      </c>
    </row>
    <row r="63" ht="15.75" customHeight="1">
      <c r="A63" s="9" t="s">
        <v>895</v>
      </c>
      <c r="B63" s="9" t="s">
        <v>896</v>
      </c>
      <c r="C63" s="9" t="s">
        <v>896</v>
      </c>
      <c r="D63" s="9" t="s">
        <v>648</v>
      </c>
    </row>
    <row r="64" ht="15.75" customHeight="1">
      <c r="A64" s="9" t="s">
        <v>897</v>
      </c>
      <c r="B64" s="9" t="s">
        <v>898</v>
      </c>
      <c r="C64" s="9" t="s">
        <v>899</v>
      </c>
      <c r="D64" s="9" t="s">
        <v>648</v>
      </c>
    </row>
    <row r="65" ht="15.75" customHeight="1">
      <c r="A65" s="9" t="s">
        <v>900</v>
      </c>
      <c r="B65" s="9" t="s">
        <v>901</v>
      </c>
      <c r="C65" s="9" t="s">
        <v>902</v>
      </c>
      <c r="D65" s="9" t="s">
        <v>648</v>
      </c>
    </row>
    <row r="66" ht="15.75" customHeight="1">
      <c r="A66" s="9" t="s">
        <v>903</v>
      </c>
      <c r="B66" s="9" t="s">
        <v>904</v>
      </c>
      <c r="C66" s="9" t="s">
        <v>904</v>
      </c>
      <c r="D66" s="9" t="s">
        <v>648</v>
      </c>
    </row>
    <row r="67" ht="15.75" customHeight="1">
      <c r="A67" s="9" t="s">
        <v>905</v>
      </c>
      <c r="B67" s="9" t="s">
        <v>646</v>
      </c>
      <c r="C67" s="9" t="s">
        <v>906</v>
      </c>
      <c r="D67" s="9" t="s">
        <v>648</v>
      </c>
    </row>
    <row r="68" ht="15.75" customHeight="1">
      <c r="A68" s="9" t="s">
        <v>907</v>
      </c>
      <c r="B68" s="9" t="s">
        <v>908</v>
      </c>
      <c r="C68" s="9" t="s">
        <v>908</v>
      </c>
      <c r="D68" s="9" t="s">
        <v>648</v>
      </c>
    </row>
    <row r="69" ht="15.75" customHeight="1">
      <c r="A69" s="9" t="s">
        <v>909</v>
      </c>
      <c r="B69" s="9" t="s">
        <v>910</v>
      </c>
      <c r="C69" s="9" t="s">
        <v>910</v>
      </c>
      <c r="D69" s="9" t="s">
        <v>648</v>
      </c>
    </row>
    <row r="70" ht="15.75" customHeight="1">
      <c r="A70" s="9" t="s">
        <v>911</v>
      </c>
      <c r="B70" s="9" t="s">
        <v>912</v>
      </c>
      <c r="C70" s="9" t="s">
        <v>912</v>
      </c>
      <c r="D70" s="9" t="s">
        <v>648</v>
      </c>
    </row>
    <row r="71" ht="15.75" customHeight="1">
      <c r="A71" s="9" t="s">
        <v>913</v>
      </c>
      <c r="B71" s="9" t="s">
        <v>914</v>
      </c>
      <c r="C71" s="9" t="s">
        <v>914</v>
      </c>
      <c r="D71" s="9" t="s">
        <v>648</v>
      </c>
    </row>
    <row r="72" ht="15.75" customHeight="1">
      <c r="A72" s="9" t="s">
        <v>915</v>
      </c>
      <c r="B72" s="9" t="s">
        <v>916</v>
      </c>
      <c r="C72" s="9" t="s">
        <v>916</v>
      </c>
      <c r="D72" s="9" t="s">
        <v>648</v>
      </c>
    </row>
    <row r="73" ht="15.75" customHeight="1">
      <c r="A73" s="9" t="s">
        <v>917</v>
      </c>
      <c r="B73" s="9" t="s">
        <v>918</v>
      </c>
      <c r="C73" s="9" t="s">
        <v>918</v>
      </c>
      <c r="D73" s="9" t="s">
        <v>648</v>
      </c>
    </row>
    <row r="74" ht="15.75" customHeight="1">
      <c r="A74" s="9" t="s">
        <v>919</v>
      </c>
      <c r="B74" s="9" t="s">
        <v>920</v>
      </c>
      <c r="C74" s="9" t="s">
        <v>920</v>
      </c>
      <c r="D74" s="9" t="s">
        <v>921</v>
      </c>
    </row>
    <row r="75" ht="15.75" customHeight="1">
      <c r="A75" s="9" t="s">
        <v>922</v>
      </c>
      <c r="B75" s="9" t="s">
        <v>923</v>
      </c>
      <c r="C75" s="9" t="s">
        <v>923</v>
      </c>
      <c r="D75" s="9" t="s">
        <v>921</v>
      </c>
    </row>
    <row r="76" ht="15.75" customHeight="1">
      <c r="A76" s="9" t="s">
        <v>924</v>
      </c>
      <c r="B76" s="9" t="s">
        <v>925</v>
      </c>
      <c r="C76" s="9" t="s">
        <v>925</v>
      </c>
      <c r="D76" s="9" t="s">
        <v>921</v>
      </c>
    </row>
    <row r="77" ht="15.75" customHeight="1">
      <c r="A77" s="9" t="s">
        <v>926</v>
      </c>
      <c r="B77" s="9" t="s">
        <v>927</v>
      </c>
      <c r="C77" s="9" t="s">
        <v>927</v>
      </c>
      <c r="D77" s="9" t="s">
        <v>921</v>
      </c>
    </row>
    <row r="78" ht="15.75" customHeight="1">
      <c r="A78" s="9" t="s">
        <v>928</v>
      </c>
      <c r="B78" s="9" t="s">
        <v>929</v>
      </c>
      <c r="C78" s="9" t="s">
        <v>929</v>
      </c>
      <c r="D78" s="9" t="s">
        <v>921</v>
      </c>
    </row>
    <row r="79" ht="15.75" customHeight="1">
      <c r="A79" s="9" t="s">
        <v>930</v>
      </c>
      <c r="B79" s="9" t="s">
        <v>920</v>
      </c>
      <c r="C79" s="9" t="s">
        <v>920</v>
      </c>
      <c r="D79" s="9" t="s">
        <v>921</v>
      </c>
    </row>
    <row r="80" ht="15.75" customHeight="1">
      <c r="A80" s="9" t="s">
        <v>931</v>
      </c>
      <c r="B80" s="9" t="s">
        <v>929</v>
      </c>
      <c r="C80" s="9" t="s">
        <v>929</v>
      </c>
      <c r="D80" s="9" t="s">
        <v>921</v>
      </c>
    </row>
    <row r="81" ht="15.75" customHeight="1">
      <c r="A81" s="9" t="s">
        <v>932</v>
      </c>
      <c r="B81" s="9" t="s">
        <v>933</v>
      </c>
      <c r="C81" s="9" t="s">
        <v>934</v>
      </c>
      <c r="D81" s="9" t="s">
        <v>921</v>
      </c>
    </row>
    <row r="82" ht="15.75" customHeight="1">
      <c r="A82" s="9" t="s">
        <v>935</v>
      </c>
      <c r="B82" s="9" t="s">
        <v>936</v>
      </c>
      <c r="C82" s="9" t="s">
        <v>937</v>
      </c>
      <c r="D82" s="9" t="s">
        <v>921</v>
      </c>
    </row>
    <row r="83" ht="15.75" customHeight="1">
      <c r="A83" s="9" t="s">
        <v>938</v>
      </c>
      <c r="B83" s="9" t="s">
        <v>939</v>
      </c>
      <c r="C83" s="9" t="s">
        <v>939</v>
      </c>
      <c r="D83" s="9" t="s">
        <v>643</v>
      </c>
    </row>
    <row r="84" ht="15.75" customHeight="1">
      <c r="A84" s="9" t="s">
        <v>940</v>
      </c>
      <c r="B84" s="9" t="s">
        <v>941</v>
      </c>
      <c r="C84" s="9" t="s">
        <v>941</v>
      </c>
      <c r="D84" s="9" t="s">
        <v>643</v>
      </c>
    </row>
    <row r="85" ht="15.75" customHeight="1">
      <c r="A85" s="9" t="s">
        <v>942</v>
      </c>
      <c r="B85" s="9" t="s">
        <v>687</v>
      </c>
      <c r="C85" s="9" t="s">
        <v>943</v>
      </c>
      <c r="D85" s="9" t="s">
        <v>643</v>
      </c>
    </row>
    <row r="86" ht="15.75" customHeight="1">
      <c r="A86" s="9" t="s">
        <v>944</v>
      </c>
      <c r="B86" s="9" t="s">
        <v>945</v>
      </c>
      <c r="C86" s="9" t="s">
        <v>945</v>
      </c>
      <c r="D86" s="9" t="s">
        <v>643</v>
      </c>
    </row>
    <row r="87" ht="15.75" customHeight="1">
      <c r="A87" s="9" t="s">
        <v>946</v>
      </c>
      <c r="B87" s="9" t="s">
        <v>947</v>
      </c>
      <c r="C87" s="9" t="s">
        <v>945</v>
      </c>
      <c r="D87" s="9" t="s">
        <v>643</v>
      </c>
    </row>
    <row r="88" ht="15.75" customHeight="1">
      <c r="A88" s="9" t="s">
        <v>948</v>
      </c>
      <c r="B88" s="9" t="s">
        <v>949</v>
      </c>
      <c r="C88" s="9" t="s">
        <v>950</v>
      </c>
      <c r="D88" s="9" t="s">
        <v>643</v>
      </c>
    </row>
    <row r="89" ht="15.75" customHeight="1">
      <c r="A89" s="9" t="s">
        <v>951</v>
      </c>
      <c r="B89" s="9" t="s">
        <v>943</v>
      </c>
      <c r="C89" s="9" t="s">
        <v>943</v>
      </c>
      <c r="D89" s="9" t="s">
        <v>643</v>
      </c>
    </row>
    <row r="90" ht="15.75" customHeight="1">
      <c r="A90" s="9" t="s">
        <v>952</v>
      </c>
      <c r="B90" s="9" t="s">
        <v>953</v>
      </c>
      <c r="C90" s="9" t="s">
        <v>953</v>
      </c>
      <c r="D90" s="9" t="s">
        <v>643</v>
      </c>
    </row>
    <row r="91" ht="15.75" customHeight="1">
      <c r="A91" s="9" t="s">
        <v>954</v>
      </c>
      <c r="B91" s="9" t="s">
        <v>955</v>
      </c>
      <c r="C91" s="9" t="s">
        <v>955</v>
      </c>
      <c r="D91" s="9" t="s">
        <v>643</v>
      </c>
    </row>
    <row r="92" ht="15.75" customHeight="1">
      <c r="A92" s="9" t="s">
        <v>956</v>
      </c>
      <c r="B92" s="9" t="s">
        <v>957</v>
      </c>
      <c r="C92" s="9" t="s">
        <v>957</v>
      </c>
      <c r="D92" s="9" t="s">
        <v>643</v>
      </c>
    </row>
    <row r="93" ht="15.75" customHeight="1">
      <c r="A93" s="9" t="s">
        <v>958</v>
      </c>
      <c r="B93" s="9" t="s">
        <v>957</v>
      </c>
      <c r="C93" s="9" t="s">
        <v>957</v>
      </c>
      <c r="D93" s="9" t="s">
        <v>643</v>
      </c>
    </row>
    <row r="94" ht="15.75" customHeight="1">
      <c r="A94" s="9" t="s">
        <v>959</v>
      </c>
      <c r="B94" s="9" t="s">
        <v>660</v>
      </c>
      <c r="C94" s="9" t="s">
        <v>660</v>
      </c>
      <c r="D94" s="9" t="s">
        <v>643</v>
      </c>
    </row>
    <row r="95" ht="15.75" customHeight="1">
      <c r="A95" s="9" t="s">
        <v>960</v>
      </c>
      <c r="B95" s="9" t="s">
        <v>660</v>
      </c>
      <c r="C95" s="9" t="s">
        <v>660</v>
      </c>
      <c r="D95" s="9" t="s">
        <v>643</v>
      </c>
    </row>
    <row r="96" ht="15.75" customHeight="1">
      <c r="A96" s="9" t="s">
        <v>961</v>
      </c>
      <c r="B96" s="9" t="s">
        <v>962</v>
      </c>
      <c r="C96" s="9" t="s">
        <v>962</v>
      </c>
      <c r="D96" s="9" t="s">
        <v>643</v>
      </c>
    </row>
    <row r="97" ht="15.75" customHeight="1">
      <c r="A97" s="9" t="s">
        <v>963</v>
      </c>
      <c r="B97" s="9" t="s">
        <v>964</v>
      </c>
      <c r="C97" s="9" t="s">
        <v>964</v>
      </c>
      <c r="D97" s="9" t="s">
        <v>643</v>
      </c>
    </row>
    <row r="98" ht="15.75" customHeight="1">
      <c r="A98" s="9" t="s">
        <v>965</v>
      </c>
      <c r="B98" s="9" t="s">
        <v>966</v>
      </c>
      <c r="C98" s="9" t="s">
        <v>966</v>
      </c>
      <c r="D98" s="9" t="s">
        <v>643</v>
      </c>
    </row>
    <row r="99" ht="15.75" customHeight="1">
      <c r="A99" s="9" t="s">
        <v>967</v>
      </c>
      <c r="B99" s="9" t="s">
        <v>950</v>
      </c>
      <c r="C99" s="9" t="s">
        <v>950</v>
      </c>
      <c r="D99" s="9" t="s">
        <v>643</v>
      </c>
    </row>
    <row r="100" ht="15.75" customHeight="1">
      <c r="A100" s="9" t="s">
        <v>968</v>
      </c>
      <c r="B100" s="9" t="s">
        <v>969</v>
      </c>
      <c r="C100" s="9" t="s">
        <v>969</v>
      </c>
      <c r="D100" s="9" t="s">
        <v>643</v>
      </c>
    </row>
    <row r="101" ht="15.75" customHeight="1">
      <c r="A101" s="9" t="s">
        <v>970</v>
      </c>
      <c r="B101" s="9" t="s">
        <v>971</v>
      </c>
      <c r="C101" s="9" t="s">
        <v>971</v>
      </c>
      <c r="D101" s="9" t="s">
        <v>643</v>
      </c>
    </row>
    <row r="102" ht="15.75" customHeight="1">
      <c r="A102" s="9" t="s">
        <v>972</v>
      </c>
      <c r="B102" s="9" t="s">
        <v>973</v>
      </c>
      <c r="C102" s="9" t="s">
        <v>974</v>
      </c>
      <c r="D102" s="9" t="s">
        <v>643</v>
      </c>
    </row>
    <row r="103" ht="15.75" customHeight="1">
      <c r="A103" s="9" t="s">
        <v>975</v>
      </c>
      <c r="B103" s="9" t="s">
        <v>976</v>
      </c>
      <c r="C103" s="9" t="s">
        <v>976</v>
      </c>
      <c r="D103" s="9" t="s">
        <v>643</v>
      </c>
    </row>
    <row r="104" ht="15.75" customHeight="1">
      <c r="A104" s="9" t="s">
        <v>977</v>
      </c>
      <c r="B104" s="9" t="s">
        <v>978</v>
      </c>
      <c r="C104" s="9" t="s">
        <v>978</v>
      </c>
      <c r="D104" s="9" t="s">
        <v>643</v>
      </c>
    </row>
    <row r="105" ht="15.75" customHeight="1">
      <c r="A105" s="9" t="s">
        <v>979</v>
      </c>
      <c r="B105" s="9" t="s">
        <v>980</v>
      </c>
      <c r="C105" s="9" t="s">
        <v>980</v>
      </c>
      <c r="D105" s="9" t="s">
        <v>643</v>
      </c>
    </row>
    <row r="106" ht="15.75" customHeight="1">
      <c r="A106" s="9" t="s">
        <v>981</v>
      </c>
      <c r="B106" s="9" t="s">
        <v>982</v>
      </c>
      <c r="C106" s="9" t="s">
        <v>983</v>
      </c>
      <c r="D106" s="9" t="s">
        <v>643</v>
      </c>
    </row>
    <row r="107" ht="15.75" customHeight="1">
      <c r="A107" s="9" t="s">
        <v>984</v>
      </c>
      <c r="B107" s="9" t="s">
        <v>985</v>
      </c>
      <c r="C107" s="9" t="s">
        <v>985</v>
      </c>
      <c r="D107" s="9" t="s">
        <v>643</v>
      </c>
    </row>
    <row r="108" ht="15.75" customHeight="1">
      <c r="A108" s="9" t="s">
        <v>986</v>
      </c>
      <c r="B108" s="9" t="s">
        <v>987</v>
      </c>
      <c r="C108" s="9" t="s">
        <v>987</v>
      </c>
      <c r="D108" s="9" t="s">
        <v>643</v>
      </c>
    </row>
    <row r="109" ht="15.75" customHeight="1">
      <c r="A109" s="9" t="s">
        <v>988</v>
      </c>
      <c r="B109" s="9" t="s">
        <v>989</v>
      </c>
      <c r="C109" s="9" t="s">
        <v>989</v>
      </c>
      <c r="D109" s="9" t="s">
        <v>643</v>
      </c>
    </row>
    <row r="110" ht="15.75" customHeight="1">
      <c r="A110" s="9" t="s">
        <v>990</v>
      </c>
      <c r="B110" s="9" t="s">
        <v>989</v>
      </c>
      <c r="C110" s="9" t="s">
        <v>989</v>
      </c>
      <c r="D110" s="9" t="s">
        <v>643</v>
      </c>
    </row>
    <row r="111" ht="15.75" customHeight="1">
      <c r="A111" s="9" t="s">
        <v>991</v>
      </c>
      <c r="B111" s="9" t="s">
        <v>666</v>
      </c>
      <c r="C111" s="9" t="s">
        <v>666</v>
      </c>
      <c r="D111" s="9" t="s">
        <v>639</v>
      </c>
    </row>
    <row r="112" ht="15.75" customHeight="1">
      <c r="A112" s="9" t="s">
        <v>992</v>
      </c>
      <c r="B112" s="9" t="s">
        <v>993</v>
      </c>
      <c r="C112" s="9" t="s">
        <v>993</v>
      </c>
      <c r="D112" s="9" t="s">
        <v>639</v>
      </c>
    </row>
    <row r="113" ht="15.75" customHeight="1">
      <c r="A113" s="9" t="s">
        <v>994</v>
      </c>
      <c r="B113" s="9" t="s">
        <v>995</v>
      </c>
      <c r="C113" s="9" t="s">
        <v>995</v>
      </c>
      <c r="D113" s="9" t="s">
        <v>639</v>
      </c>
    </row>
    <row r="114" ht="15.75" customHeight="1">
      <c r="A114" s="9" t="s">
        <v>996</v>
      </c>
      <c r="B114" s="9" t="s">
        <v>997</v>
      </c>
      <c r="C114" s="9" t="s">
        <v>997</v>
      </c>
      <c r="D114" s="9" t="s">
        <v>639</v>
      </c>
    </row>
    <row r="115" ht="15.75" customHeight="1">
      <c r="A115" s="9" t="s">
        <v>998</v>
      </c>
      <c r="B115" s="9" t="s">
        <v>999</v>
      </c>
      <c r="C115" s="9" t="s">
        <v>1000</v>
      </c>
      <c r="D115" s="9" t="s">
        <v>639</v>
      </c>
    </row>
    <row r="116" ht="15.75" customHeight="1">
      <c r="A116" s="9" t="s">
        <v>1001</v>
      </c>
      <c r="B116" s="9" t="s">
        <v>1002</v>
      </c>
      <c r="C116" s="9" t="s">
        <v>1003</v>
      </c>
      <c r="D116" s="9" t="s">
        <v>639</v>
      </c>
    </row>
    <row r="117" ht="15.75" customHeight="1">
      <c r="A117" s="9" t="s">
        <v>1004</v>
      </c>
      <c r="B117" s="9" t="s">
        <v>1005</v>
      </c>
      <c r="C117" s="9" t="s">
        <v>1006</v>
      </c>
      <c r="D117" s="9" t="s">
        <v>639</v>
      </c>
    </row>
    <row r="118" ht="15.75" customHeight="1">
      <c r="A118" s="9" t="s">
        <v>1007</v>
      </c>
      <c r="B118" s="9" t="s">
        <v>1008</v>
      </c>
      <c r="C118" s="9" t="s">
        <v>1008</v>
      </c>
      <c r="D118" s="9" t="s">
        <v>1009</v>
      </c>
    </row>
    <row r="119" ht="15.75" customHeight="1">
      <c r="A119" s="9" t="s">
        <v>1010</v>
      </c>
      <c r="B119" s="9" t="s">
        <v>1011</v>
      </c>
      <c r="C119" s="9" t="s">
        <v>1012</v>
      </c>
      <c r="D119" s="9" t="s">
        <v>1009</v>
      </c>
    </row>
    <row r="120" ht="15.75" customHeight="1">
      <c r="A120" s="9" t="s">
        <v>1013</v>
      </c>
      <c r="B120" s="9" t="s">
        <v>1014</v>
      </c>
      <c r="C120" s="9" t="s">
        <v>1014</v>
      </c>
      <c r="D120" s="9" t="s">
        <v>1009</v>
      </c>
    </row>
    <row r="121" ht="15.75" customHeight="1">
      <c r="A121" s="9" t="s">
        <v>1015</v>
      </c>
      <c r="B121" s="9" t="s">
        <v>1016</v>
      </c>
      <c r="C121" s="9" t="s">
        <v>1016</v>
      </c>
      <c r="D121" s="9" t="s">
        <v>1009</v>
      </c>
    </row>
    <row r="122" ht="15.75" customHeight="1">
      <c r="A122" s="9" t="s">
        <v>1017</v>
      </c>
      <c r="B122" s="9" t="s">
        <v>1018</v>
      </c>
      <c r="C122" s="9" t="s">
        <v>1012</v>
      </c>
      <c r="D122" s="9" t="s">
        <v>1009</v>
      </c>
    </row>
    <row r="123" ht="15.75" customHeight="1">
      <c r="A123" s="9" t="s">
        <v>1019</v>
      </c>
      <c r="B123" s="9" t="s">
        <v>1020</v>
      </c>
      <c r="C123" s="9" t="s">
        <v>1021</v>
      </c>
      <c r="D123" s="9" t="s">
        <v>1022</v>
      </c>
    </row>
    <row r="124" ht="15.75" customHeight="1">
      <c r="A124" s="9" t="s">
        <v>1023</v>
      </c>
      <c r="B124" s="9" t="s">
        <v>1024</v>
      </c>
      <c r="C124" s="9" t="s">
        <v>1025</v>
      </c>
      <c r="D124" s="9" t="s">
        <v>1022</v>
      </c>
    </row>
    <row r="125" ht="15.75" customHeight="1">
      <c r="A125" s="9" t="s">
        <v>1026</v>
      </c>
      <c r="B125" s="9" t="s">
        <v>1027</v>
      </c>
      <c r="C125" s="9" t="s">
        <v>1027</v>
      </c>
      <c r="D125" s="9" t="s">
        <v>1022</v>
      </c>
    </row>
    <row r="126" ht="15.75" customHeight="1">
      <c r="A126" s="9" t="s">
        <v>1028</v>
      </c>
      <c r="B126" s="9" t="s">
        <v>1029</v>
      </c>
      <c r="C126" s="9" t="s">
        <v>1030</v>
      </c>
      <c r="D126" s="9" t="s">
        <v>1022</v>
      </c>
    </row>
    <row r="127" ht="15.75" customHeight="1">
      <c r="A127" s="9" t="s">
        <v>1031</v>
      </c>
      <c r="B127" s="9" t="s">
        <v>590</v>
      </c>
      <c r="C127" s="9" t="s">
        <v>691</v>
      </c>
      <c r="D127" s="9" t="s">
        <v>691</v>
      </c>
    </row>
    <row r="128" ht="15.75" customHeight="1">
      <c r="A128" s="9" t="s">
        <v>41</v>
      </c>
      <c r="B128" s="9" t="s">
        <v>41</v>
      </c>
      <c r="C128" s="9" t="s">
        <v>691</v>
      </c>
      <c r="D128" s="9" t="s">
        <v>691</v>
      </c>
    </row>
    <row r="129" ht="15.75" customHeight="1">
      <c r="A129" s="9" t="s">
        <v>1032</v>
      </c>
      <c r="B129" s="9" t="s">
        <v>1033</v>
      </c>
      <c r="C129" s="9" t="s">
        <v>691</v>
      </c>
      <c r="D129" s="9" t="s">
        <v>691</v>
      </c>
    </row>
    <row r="130" ht="15.75" customHeight="1">
      <c r="A130" s="9" t="s">
        <v>1034</v>
      </c>
      <c r="B130" s="9" t="s">
        <v>348</v>
      </c>
      <c r="C130" s="9" t="s">
        <v>691</v>
      </c>
      <c r="D130" s="9" t="s">
        <v>691</v>
      </c>
    </row>
    <row r="131" ht="15.75" customHeight="1">
      <c r="A131" s="9" t="s">
        <v>1035</v>
      </c>
      <c r="B131" s="9" t="s">
        <v>1036</v>
      </c>
      <c r="C131" s="9" t="s">
        <v>691</v>
      </c>
      <c r="D131" s="9" t="s">
        <v>691</v>
      </c>
    </row>
    <row r="132" ht="15.75" customHeight="1">
      <c r="A132" s="9" t="s">
        <v>1037</v>
      </c>
      <c r="B132" s="9" t="s">
        <v>344</v>
      </c>
      <c r="C132" s="13" t="s">
        <v>1038</v>
      </c>
      <c r="D132" s="13" t="s">
        <v>1009</v>
      </c>
    </row>
    <row r="133" ht="15.75" customHeight="1">
      <c r="A133" s="9" t="s">
        <v>1039</v>
      </c>
      <c r="B133" s="9" t="s">
        <v>334</v>
      </c>
      <c r="C133" s="9" t="s">
        <v>1040</v>
      </c>
      <c r="D133" s="9" t="s">
        <v>703</v>
      </c>
    </row>
    <row r="134" ht="15.75" customHeight="1">
      <c r="A134" s="9" t="s">
        <v>253</v>
      </c>
      <c r="B134" s="9" t="s">
        <v>253</v>
      </c>
      <c r="C134" s="9" t="s">
        <v>1041</v>
      </c>
      <c r="D134" s="9" t="s">
        <v>703</v>
      </c>
    </row>
    <row r="135" ht="15.75" customHeight="1">
      <c r="A135" s="9" t="s">
        <v>258</v>
      </c>
      <c r="B135" s="9" t="s">
        <v>258</v>
      </c>
      <c r="C135" s="9" t="s">
        <v>1041</v>
      </c>
      <c r="D135" s="9" t="s">
        <v>703</v>
      </c>
    </row>
    <row r="136" ht="15.75" customHeight="1">
      <c r="A136" s="9" t="s">
        <v>250</v>
      </c>
      <c r="B136" s="9" t="s">
        <v>250</v>
      </c>
      <c r="C136" s="9" t="s">
        <v>1041</v>
      </c>
      <c r="D136" s="9" t="s">
        <v>703</v>
      </c>
    </row>
    <row r="137" ht="15.75" customHeight="1">
      <c r="A137" s="9" t="s">
        <v>145</v>
      </c>
      <c r="B137" s="9" t="s">
        <v>145</v>
      </c>
      <c r="C137" s="9" t="s">
        <v>1041</v>
      </c>
      <c r="D137" s="9" t="s">
        <v>703</v>
      </c>
    </row>
    <row r="138" ht="15.75" customHeight="1">
      <c r="A138" s="9" t="s">
        <v>241</v>
      </c>
      <c r="B138" s="9" t="s">
        <v>241</v>
      </c>
      <c r="C138" s="9" t="s">
        <v>1041</v>
      </c>
      <c r="D138" s="9" t="s">
        <v>703</v>
      </c>
    </row>
    <row r="139" ht="15.75" customHeight="1">
      <c r="A139" s="9" t="s">
        <v>519</v>
      </c>
      <c r="B139" s="9" t="s">
        <v>519</v>
      </c>
      <c r="C139" s="9" t="s">
        <v>1041</v>
      </c>
      <c r="D139" s="9" t="s">
        <v>703</v>
      </c>
    </row>
    <row r="140" ht="15.75" customHeight="1">
      <c r="A140" s="9" t="s">
        <v>1042</v>
      </c>
      <c r="B140" s="9" t="s">
        <v>1042</v>
      </c>
      <c r="C140" s="9" t="s">
        <v>1041</v>
      </c>
      <c r="D140" s="9" t="s">
        <v>703</v>
      </c>
    </row>
    <row r="141" ht="15.75" customHeight="1">
      <c r="A141" s="9" t="s">
        <v>1043</v>
      </c>
      <c r="B141" s="9" t="s">
        <v>1043</v>
      </c>
      <c r="C141" s="9" t="s">
        <v>1041</v>
      </c>
      <c r="D141" s="9" t="s">
        <v>703</v>
      </c>
    </row>
    <row r="142" ht="15.75" customHeight="1">
      <c r="A142" s="9" t="s">
        <v>1044</v>
      </c>
      <c r="B142" s="9" t="s">
        <v>1045</v>
      </c>
      <c r="C142" s="9" t="s">
        <v>1046</v>
      </c>
      <c r="D142" s="9" t="s">
        <v>703</v>
      </c>
    </row>
    <row r="143" ht="15.75" customHeight="1">
      <c r="A143" s="9" t="s">
        <v>1047</v>
      </c>
      <c r="B143" s="9" t="s">
        <v>1048</v>
      </c>
      <c r="C143" s="9" t="s">
        <v>1046</v>
      </c>
      <c r="D143" s="9" t="s">
        <v>703</v>
      </c>
    </row>
    <row r="144" ht="15.75" customHeight="1">
      <c r="A144" s="9" t="s">
        <v>1049</v>
      </c>
      <c r="B144" s="9" t="s">
        <v>1050</v>
      </c>
      <c r="C144" s="9" t="s">
        <v>1046</v>
      </c>
      <c r="D144" s="9" t="s">
        <v>703</v>
      </c>
    </row>
    <row r="145" ht="15.75" customHeight="1">
      <c r="A145" s="9" t="s">
        <v>1051</v>
      </c>
      <c r="B145" s="9" t="s">
        <v>1052</v>
      </c>
      <c r="C145" s="9" t="s">
        <v>1046</v>
      </c>
      <c r="D145" s="9" t="s">
        <v>703</v>
      </c>
    </row>
    <row r="146" ht="15.75" customHeight="1">
      <c r="A146" s="9" t="s">
        <v>1053</v>
      </c>
      <c r="B146" s="9" t="s">
        <v>1054</v>
      </c>
      <c r="C146" s="9" t="s">
        <v>1046</v>
      </c>
      <c r="D146" s="9" t="s">
        <v>703</v>
      </c>
    </row>
    <row r="147" ht="15.75" customHeight="1">
      <c r="A147" s="9" t="s">
        <v>1055</v>
      </c>
      <c r="B147" s="9" t="s">
        <v>1056</v>
      </c>
      <c r="C147" s="9" t="s">
        <v>1057</v>
      </c>
      <c r="D147" s="9" t="s">
        <v>734</v>
      </c>
    </row>
    <row r="148" ht="15.75" customHeight="1">
      <c r="A148" s="9" t="s">
        <v>1058</v>
      </c>
      <c r="B148" s="9" t="s">
        <v>1059</v>
      </c>
      <c r="C148" s="9" t="s">
        <v>1060</v>
      </c>
      <c r="D148" s="9" t="s">
        <v>734</v>
      </c>
    </row>
    <row r="149" ht="15.75" customHeight="1">
      <c r="A149" s="9" t="s">
        <v>1061</v>
      </c>
      <c r="B149" s="9" t="s">
        <v>1062</v>
      </c>
      <c r="C149" s="9" t="s">
        <v>1063</v>
      </c>
      <c r="D149" s="13" t="s">
        <v>691</v>
      </c>
    </row>
    <row r="150" ht="15.75" customHeight="1">
      <c r="A150" s="9" t="s">
        <v>1064</v>
      </c>
      <c r="B150" s="9" t="s">
        <v>1065</v>
      </c>
      <c r="C150" s="9" t="s">
        <v>1066</v>
      </c>
      <c r="D150" s="13" t="s">
        <v>1022</v>
      </c>
    </row>
    <row r="151" ht="15.75" customHeight="1">
      <c r="A151" s="9" t="s">
        <v>1067</v>
      </c>
      <c r="B151" s="9" t="s">
        <v>1068</v>
      </c>
      <c r="C151" s="9" t="s">
        <v>1069</v>
      </c>
      <c r="D151" s="9" t="s">
        <v>734</v>
      </c>
    </row>
    <row r="152" ht="15.75" customHeight="1">
      <c r="A152" s="9" t="s">
        <v>1070</v>
      </c>
      <c r="B152" s="9" t="s">
        <v>319</v>
      </c>
      <c r="C152" s="9" t="s">
        <v>319</v>
      </c>
      <c r="D152" s="9" t="s">
        <v>734</v>
      </c>
    </row>
    <row r="153" ht="15.75" customHeight="1">
      <c r="A153" s="13" t="s">
        <v>1071</v>
      </c>
      <c r="B153" s="13" t="s">
        <v>626</v>
      </c>
      <c r="C153" s="13" t="s">
        <v>1072</v>
      </c>
      <c r="D153" s="13" t="s">
        <v>672</v>
      </c>
    </row>
    <row r="154" ht="15.75" customHeight="1">
      <c r="A154" s="13" t="s">
        <v>1073</v>
      </c>
      <c r="B154" s="13" t="s">
        <v>625</v>
      </c>
      <c r="C154" s="13" t="s">
        <v>1074</v>
      </c>
      <c r="D154" s="13" t="s">
        <v>672</v>
      </c>
    </row>
    <row r="155" ht="15.75" customHeight="1">
      <c r="A155" s="13" t="s">
        <v>1075</v>
      </c>
      <c r="B155" s="13" t="s">
        <v>623</v>
      </c>
      <c r="C155" s="13" t="s">
        <v>1072</v>
      </c>
      <c r="D155" s="13" t="s">
        <v>672</v>
      </c>
    </row>
    <row r="156" ht="15.75" customHeight="1">
      <c r="A156" s="13" t="s">
        <v>1076</v>
      </c>
      <c r="B156" s="13" t="s">
        <v>54</v>
      </c>
      <c r="C156" s="13" t="s">
        <v>54</v>
      </c>
      <c r="D156" s="13" t="s">
        <v>711</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17.57"/>
    <col customWidth="1" min="4" max="26" width="8.71"/>
  </cols>
  <sheetData>
    <row r="1">
      <c r="A1" s="1" t="s">
        <v>2</v>
      </c>
      <c r="B1" s="1" t="s">
        <v>1077</v>
      </c>
      <c r="C1" s="2" t="s">
        <v>1078</v>
      </c>
    </row>
    <row r="2">
      <c r="A2" s="9" t="s">
        <v>14</v>
      </c>
      <c r="B2" s="9">
        <v>1.0</v>
      </c>
      <c r="C2" s="19" t="s">
        <v>1079</v>
      </c>
    </row>
    <row r="3">
      <c r="A3" s="9" t="s">
        <v>107</v>
      </c>
      <c r="B3" s="9">
        <v>3.64</v>
      </c>
      <c r="C3" s="9">
        <f>IFERROR(__xludf.DUMMYFUNCTION("GOOGLEFINANCE(""CURRENCY:USDQAR"")"),3.645108)</f>
        <v>3.645108</v>
      </c>
    </row>
    <row r="4">
      <c r="A4" s="9" t="s">
        <v>350</v>
      </c>
      <c r="B4" s="9">
        <v>3.96</v>
      </c>
      <c r="C4" s="9">
        <f>IFERROR(__xludf.DUMMYFUNCTION("GOOGLEFINANCE(""CURRENCY:EURQAR"")"),4.2974)</f>
        <v>4.2974</v>
      </c>
    </row>
    <row r="5">
      <c r="A5" s="9" t="s">
        <v>1080</v>
      </c>
      <c r="B5" s="9">
        <v>4.58</v>
      </c>
      <c r="C5" s="9">
        <f>IFERROR(__xludf.DUMMYFUNCTION("GOOGLEFINANCE(""CURRENCY:GBPQAR"")"),4.928936)</f>
        <v>4.928936</v>
      </c>
    </row>
    <row r="6">
      <c r="A6" s="9" t="s">
        <v>1081</v>
      </c>
      <c r="B6" s="9">
        <v>0.99</v>
      </c>
      <c r="C6" s="9">
        <f>IFERROR(__xludf.DUMMYFUNCTION("GOOGLEFINANCE(""CURRENCY:AEDQAR"")"),0.9902759)</f>
        <v>0.9902759</v>
      </c>
    </row>
    <row r="7">
      <c r="A7" s="9" t="s">
        <v>1082</v>
      </c>
      <c r="B7" s="9">
        <v>0.97</v>
      </c>
      <c r="C7" s="9">
        <f>IFERROR(__xludf.DUMMYFUNCTION("GOOGLEFINANCE(""CURRENCY:SARQAR"")"),0.9719751452000001)</f>
        <v>0.9719751452</v>
      </c>
    </row>
    <row r="10">
      <c r="A10" s="2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86"/>
    <col customWidth="1" min="2" max="2" width="17.57"/>
    <col customWidth="1" min="3" max="3" width="39.14"/>
    <col customWidth="1" min="5" max="5" width="24.14"/>
    <col customWidth="1" min="6" max="6" width="18.86"/>
  </cols>
  <sheetData>
    <row r="1">
      <c r="A1" s="2" t="s">
        <v>1083</v>
      </c>
      <c r="B1" s="2" t="s">
        <v>1084</v>
      </c>
      <c r="C1" s="2" t="s">
        <v>1085</v>
      </c>
      <c r="D1" s="2" t="s">
        <v>1086</v>
      </c>
      <c r="E1" s="2" t="s">
        <v>1087</v>
      </c>
      <c r="F1" s="2" t="s">
        <v>1088</v>
      </c>
    </row>
    <row r="2">
      <c r="A2" s="13" t="s">
        <v>1089</v>
      </c>
      <c r="B2" s="13" t="s">
        <v>1090</v>
      </c>
      <c r="C2" s="13" t="s">
        <v>1091</v>
      </c>
      <c r="E2" s="13" t="s">
        <v>1092</v>
      </c>
      <c r="F2" s="13" t="s">
        <v>1093</v>
      </c>
    </row>
    <row r="3">
      <c r="A3" s="13" t="s">
        <v>1089</v>
      </c>
      <c r="B3" s="13" t="s">
        <v>1094</v>
      </c>
      <c r="C3" s="13" t="s">
        <v>1095</v>
      </c>
      <c r="E3" s="13" t="s">
        <v>1096</v>
      </c>
      <c r="F3" s="13" t="s">
        <v>1093</v>
      </c>
    </row>
    <row r="4">
      <c r="A4" s="13" t="s">
        <v>1089</v>
      </c>
      <c r="B4" s="13" t="s">
        <v>1097</v>
      </c>
      <c r="C4" s="13" t="s">
        <v>1098</v>
      </c>
      <c r="E4" s="13" t="s">
        <v>1099</v>
      </c>
      <c r="F4" s="13" t="s">
        <v>1093</v>
      </c>
    </row>
    <row r="5">
      <c r="A5" s="13" t="s">
        <v>1089</v>
      </c>
      <c r="B5" s="13" t="s">
        <v>1097</v>
      </c>
      <c r="C5" s="13" t="s">
        <v>1100</v>
      </c>
      <c r="E5" s="13" t="s">
        <v>1101</v>
      </c>
      <c r="F5" s="13" t="s">
        <v>1093</v>
      </c>
    </row>
    <row r="6">
      <c r="A6" s="13" t="s">
        <v>1102</v>
      </c>
      <c r="B6" s="13" t="s">
        <v>626</v>
      </c>
      <c r="D6" s="13" t="s">
        <v>672</v>
      </c>
      <c r="E6" s="13" t="s">
        <v>1103</v>
      </c>
      <c r="F6" s="13" t="s">
        <v>1104</v>
      </c>
    </row>
    <row r="7">
      <c r="A7" s="13" t="s">
        <v>1089</v>
      </c>
      <c r="B7" s="13" t="s">
        <v>1105</v>
      </c>
      <c r="C7" s="13" t="s">
        <v>1106</v>
      </c>
      <c r="D7" s="13" t="s">
        <v>1107</v>
      </c>
      <c r="E7" s="13" t="s">
        <v>1103</v>
      </c>
      <c r="F7" s="13" t="s">
        <v>1104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35.0"/>
    <col customWidth="1" min="3" max="3" width="15.0"/>
    <col customWidth="1" min="4" max="4" width="30.0"/>
    <col customWidth="1" min="5" max="26" width="8.71"/>
  </cols>
  <sheetData>
    <row r="1">
      <c r="A1" s="1" t="s">
        <v>1108</v>
      </c>
      <c r="B1" s="1" t="s">
        <v>1109</v>
      </c>
      <c r="C1" s="1" t="s">
        <v>1110</v>
      </c>
      <c r="D1" s="1" t="s">
        <v>1111</v>
      </c>
    </row>
    <row r="2">
      <c r="A2" s="9" t="s">
        <v>145</v>
      </c>
    </row>
    <row r="3">
      <c r="A3" s="9" t="s">
        <v>241</v>
      </c>
    </row>
    <row r="4">
      <c r="B4" s="9" t="s">
        <v>233</v>
      </c>
    </row>
    <row r="5">
      <c r="C5" s="9" t="s">
        <v>1112</v>
      </c>
      <c r="D5" s="9" t="s">
        <v>348</v>
      </c>
    </row>
    <row r="6">
      <c r="C6" s="13" t="s">
        <v>1038</v>
      </c>
      <c r="D6" s="9" t="s">
        <v>344</v>
      </c>
    </row>
    <row r="7">
      <c r="C7" s="9" t="s">
        <v>1040</v>
      </c>
      <c r="D7" s="9" t="s">
        <v>334</v>
      </c>
    </row>
    <row r="8">
      <c r="C8" s="9" t="s">
        <v>1113</v>
      </c>
      <c r="D8" s="9" t="s">
        <v>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